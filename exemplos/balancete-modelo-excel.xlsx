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the\Desktop\"/>
    </mc:Choice>
  </mc:AlternateContent>
  <xr:revisionPtr revIDLastSave="0" documentId="8_{852B2E57-430C-4704-9D8D-B504C8624C83}" xr6:coauthVersionLast="47" xr6:coauthVersionMax="47" xr10:uidLastSave="{00000000-0000-0000-0000-000000000000}"/>
  <bookViews>
    <workbookView xWindow="-120" yWindow="-120" windowWidth="29040" windowHeight="15720" xr2:uid="{94AC2569-B0C5-42CE-BC15-55B6E006D431}"/>
  </bookViews>
  <sheets>
    <sheet name="activos" sheetId="13" r:id="rId1"/>
    <sheet name="passivos" sheetId="4" r:id="rId2"/>
    <sheet name="compensacaoActiva" sheetId="14" r:id="rId3"/>
    <sheet name="compensacaoPassiva" sheetId="6" r:id="rId4"/>
    <sheet name="fundosProprios" sheetId="15" r:id="rId5"/>
    <sheet name="resultados" sheetId="8" r:id="rId6"/>
    <sheet name="fluxosDeCaixa" sheetId="16" r:id="rId7"/>
  </sheets>
  <definedNames>
    <definedName name="_xlnm._FilterDatabase" localSheetId="0" hidden="1">activos!$E$1:$I$596</definedName>
    <definedName name="_xlnm._FilterDatabase" localSheetId="1" hidden="1">passivos!$G$1:$I$75</definedName>
    <definedName name="_xlnm._FilterDatabase" localSheetId="5" hidden="1">resultados!$A$1:$I$112</definedName>
    <definedName name="dt_reporte">#REF!</definedName>
    <definedName name="ebtidade">#REF!</definedName>
    <definedName name="email">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38" i="13" l="1"/>
  <c r="H13" i="15"/>
  <c r="I13" i="15"/>
  <c r="H60" i="4"/>
  <c r="G60" i="4"/>
  <c r="I3" i="13"/>
  <c r="A12" i="6"/>
  <c r="A13" i="6"/>
  <c r="A14" i="6"/>
  <c r="A15" i="6"/>
  <c r="A16" i="6"/>
  <c r="A161" i="13"/>
  <c r="A160" i="13"/>
  <c r="A159" i="13"/>
  <c r="A158" i="13"/>
  <c r="A157" i="13"/>
  <c r="A156" i="13"/>
  <c r="A155" i="13"/>
  <c r="A154" i="13"/>
  <c r="A153" i="13"/>
  <c r="A152" i="13"/>
  <c r="A151" i="13"/>
  <c r="A150" i="13"/>
  <c r="A149" i="13"/>
  <c r="A148" i="13"/>
  <c r="A147" i="13"/>
  <c r="A146" i="13"/>
  <c r="A145" i="13"/>
  <c r="A144" i="13"/>
  <c r="A143" i="13"/>
  <c r="A142" i="13"/>
  <c r="A141" i="13"/>
  <c r="A140" i="13"/>
  <c r="A139" i="13"/>
  <c r="A138" i="13"/>
  <c r="A137" i="13"/>
  <c r="A136" i="13"/>
  <c r="A135" i="13"/>
  <c r="A134" i="13"/>
  <c r="A133" i="13"/>
  <c r="A132" i="13"/>
  <c r="A131" i="13"/>
  <c r="A130" i="13"/>
  <c r="A129" i="13"/>
  <c r="A128" i="13"/>
  <c r="A127" i="13"/>
  <c r="A126" i="13"/>
  <c r="A125" i="13"/>
  <c r="A124" i="13"/>
  <c r="A123" i="13"/>
  <c r="A122" i="13"/>
  <c r="A121" i="13"/>
  <c r="A120" i="13"/>
  <c r="A119" i="13"/>
  <c r="A118" i="13"/>
  <c r="A117" i="13"/>
  <c r="A116" i="13"/>
  <c r="A115" i="13"/>
  <c r="A114" i="13"/>
  <c r="A113" i="13"/>
  <c r="A112" i="13"/>
  <c r="A111" i="13"/>
  <c r="A110" i="13"/>
  <c r="A109" i="13"/>
  <c r="A108" i="13"/>
  <c r="A107" i="13"/>
  <c r="A106" i="13"/>
  <c r="A105" i="13"/>
  <c r="A104" i="13"/>
  <c r="A103" i="13"/>
  <c r="A102" i="13"/>
  <c r="A101" i="13"/>
  <c r="A100" i="13"/>
  <c r="A99" i="13"/>
  <c r="A98" i="13"/>
  <c r="A97" i="13"/>
  <c r="A96" i="13"/>
  <c r="A95" i="13"/>
  <c r="A94" i="13"/>
  <c r="A93" i="13"/>
  <c r="A92" i="13"/>
  <c r="A91" i="13"/>
  <c r="A90" i="13"/>
  <c r="A89" i="13"/>
  <c r="A88" i="13"/>
  <c r="A87" i="13"/>
  <c r="A86" i="13"/>
  <c r="A85" i="13"/>
  <c r="A84" i="13"/>
  <c r="A83" i="13"/>
  <c r="A82" i="13"/>
  <c r="A81" i="13"/>
  <c r="A80" i="13"/>
  <c r="A79" i="13"/>
  <c r="A78" i="13"/>
  <c r="A77" i="13"/>
  <c r="A76" i="13"/>
  <c r="A75" i="13"/>
  <c r="A74" i="13"/>
  <c r="A73" i="13"/>
  <c r="A72" i="13"/>
  <c r="A71" i="13"/>
  <c r="A70" i="13"/>
  <c r="A69" i="13"/>
  <c r="A68" i="13"/>
  <c r="A67" i="13"/>
  <c r="A66" i="13"/>
  <c r="A65" i="13"/>
  <c r="A64" i="13"/>
  <c r="A63" i="13"/>
  <c r="A62" i="13"/>
  <c r="A61" i="13"/>
  <c r="A60" i="13"/>
  <c r="A59" i="13"/>
  <c r="A58" i="13"/>
  <c r="A57" i="13"/>
  <c r="A56" i="13"/>
  <c r="A55" i="13"/>
  <c r="A54" i="13"/>
  <c r="A53" i="13"/>
  <c r="A52" i="13"/>
  <c r="A51" i="13"/>
  <c r="A50" i="13"/>
  <c r="A49" i="13"/>
  <c r="A48" i="13"/>
  <c r="A47" i="13"/>
  <c r="A46" i="13"/>
  <c r="A45" i="13"/>
  <c r="A44" i="13"/>
  <c r="A43" i="13"/>
  <c r="A42" i="13"/>
  <c r="A41" i="13"/>
  <c r="A40" i="13"/>
  <c r="A39" i="13"/>
  <c r="A38" i="13"/>
  <c r="A37" i="13"/>
  <c r="A36" i="13"/>
  <c r="A35" i="13"/>
  <c r="A34" i="13"/>
  <c r="A33" i="13"/>
  <c r="A32" i="13"/>
  <c r="A31" i="13"/>
  <c r="A30" i="13"/>
  <c r="A29" i="13"/>
  <c r="A28" i="13"/>
  <c r="A27" i="13"/>
  <c r="A26" i="13"/>
  <c r="A25" i="13"/>
  <c r="A24" i="13"/>
  <c r="A23" i="13"/>
  <c r="A22" i="13"/>
  <c r="A21" i="13"/>
  <c r="A20" i="13"/>
  <c r="A19" i="13"/>
  <c r="A18" i="13"/>
  <c r="A17" i="13"/>
  <c r="A16" i="13"/>
  <c r="A15" i="13"/>
  <c r="A14" i="13"/>
  <c r="A13" i="13"/>
  <c r="A12" i="13"/>
  <c r="A11" i="13"/>
  <c r="A10" i="13"/>
  <c r="A9" i="13"/>
  <c r="A8" i="13"/>
  <c r="A7" i="13"/>
  <c r="A6" i="13"/>
  <c r="A5" i="13"/>
  <c r="A4" i="13"/>
  <c r="A3" i="13"/>
  <c r="A2" i="13"/>
  <c r="I98" i="16"/>
  <c r="C98" i="16"/>
  <c r="A98" i="16"/>
  <c r="I97" i="16"/>
  <c r="C97" i="16"/>
  <c r="A97" i="16"/>
  <c r="I96" i="16"/>
  <c r="C96" i="16"/>
  <c r="A96" i="16"/>
  <c r="I95" i="16"/>
  <c r="C95" i="16"/>
  <c r="A95" i="16"/>
  <c r="I94" i="16"/>
  <c r="C94" i="16"/>
  <c r="A94" i="16"/>
  <c r="I93" i="16"/>
  <c r="C93" i="16"/>
  <c r="A93" i="16"/>
  <c r="I92" i="16"/>
  <c r="C92" i="16"/>
  <c r="A92" i="16"/>
  <c r="I91" i="16"/>
  <c r="C91" i="16"/>
  <c r="A91" i="16"/>
  <c r="I90" i="16"/>
  <c r="C90" i="16"/>
  <c r="A90" i="16"/>
  <c r="I89" i="16"/>
  <c r="C89" i="16"/>
  <c r="A89" i="16"/>
  <c r="I88" i="16"/>
  <c r="C88" i="16"/>
  <c r="A88" i="16"/>
  <c r="I87" i="16"/>
  <c r="C87" i="16"/>
  <c r="A87" i="16"/>
  <c r="I86" i="16"/>
  <c r="C86" i="16"/>
  <c r="A86" i="16"/>
  <c r="I85" i="16"/>
  <c r="C85" i="16"/>
  <c r="A85" i="16"/>
  <c r="I84" i="16"/>
  <c r="C84" i="16"/>
  <c r="A84" i="16"/>
  <c r="I83" i="16"/>
  <c r="C83" i="16"/>
  <c r="A83" i="16"/>
  <c r="I82" i="16"/>
  <c r="C82" i="16"/>
  <c r="A82" i="16"/>
  <c r="I81" i="16"/>
  <c r="C81" i="16"/>
  <c r="A81" i="16"/>
  <c r="I80" i="16"/>
  <c r="C80" i="16"/>
  <c r="A80" i="16"/>
  <c r="I79" i="16"/>
  <c r="C79" i="16"/>
  <c r="A79" i="16"/>
  <c r="I78" i="16"/>
  <c r="C78" i="16"/>
  <c r="A78" i="16"/>
  <c r="I77" i="16"/>
  <c r="C77" i="16"/>
  <c r="A77" i="16"/>
  <c r="I76" i="16"/>
  <c r="C76" i="16"/>
  <c r="A76" i="16"/>
  <c r="I75" i="16"/>
  <c r="C75" i="16"/>
  <c r="A75" i="16"/>
  <c r="I74" i="16"/>
  <c r="C74" i="16"/>
  <c r="A74" i="16"/>
  <c r="I73" i="16"/>
  <c r="C73" i="16"/>
  <c r="A73" i="16"/>
  <c r="I72" i="16"/>
  <c r="C72" i="16"/>
  <c r="A72" i="16"/>
  <c r="I71" i="16"/>
  <c r="C71" i="16"/>
  <c r="A71" i="16"/>
  <c r="I70" i="16"/>
  <c r="C70" i="16"/>
  <c r="A70" i="16"/>
  <c r="I69" i="16"/>
  <c r="C69" i="16"/>
  <c r="A69" i="16"/>
  <c r="I68" i="16"/>
  <c r="C68" i="16"/>
  <c r="A68" i="16"/>
  <c r="I67" i="16"/>
  <c r="C67" i="16"/>
  <c r="A67" i="16"/>
  <c r="I66" i="16"/>
  <c r="C66" i="16"/>
  <c r="A66" i="16"/>
  <c r="I65" i="16"/>
  <c r="C65" i="16"/>
  <c r="A65" i="16"/>
  <c r="I64" i="16"/>
  <c r="C64" i="16"/>
  <c r="A64" i="16"/>
  <c r="I63" i="16"/>
  <c r="C63" i="16"/>
  <c r="A63" i="16"/>
  <c r="I62" i="16"/>
  <c r="C62" i="16"/>
  <c r="A62" i="16"/>
  <c r="I61" i="16"/>
  <c r="C61" i="16"/>
  <c r="A61" i="16"/>
  <c r="I60" i="16"/>
  <c r="C60" i="16"/>
  <c r="A60" i="16"/>
  <c r="I59" i="16"/>
  <c r="C59" i="16"/>
  <c r="A59" i="16"/>
  <c r="I58" i="16"/>
  <c r="C58" i="16"/>
  <c r="A58" i="16"/>
  <c r="I57" i="16"/>
  <c r="C57" i="16"/>
  <c r="A57" i="16"/>
  <c r="I56" i="16"/>
  <c r="C56" i="16"/>
  <c r="A56" i="16"/>
  <c r="I55" i="16"/>
  <c r="C55" i="16"/>
  <c r="A55" i="16"/>
  <c r="I54" i="16"/>
  <c r="C54" i="16"/>
  <c r="A54" i="16"/>
  <c r="I53" i="16"/>
  <c r="C53" i="16"/>
  <c r="A53" i="16"/>
  <c r="I52" i="16"/>
  <c r="C52" i="16"/>
  <c r="A52" i="16"/>
  <c r="I51" i="16"/>
  <c r="C51" i="16"/>
  <c r="A51" i="16"/>
  <c r="I50" i="16"/>
  <c r="C50" i="16"/>
  <c r="A50" i="16"/>
  <c r="I49" i="16"/>
  <c r="C49" i="16"/>
  <c r="A49" i="16"/>
  <c r="I48" i="16"/>
  <c r="C48" i="16"/>
  <c r="A48" i="16"/>
  <c r="I47" i="16"/>
  <c r="C47" i="16"/>
  <c r="A47" i="16"/>
  <c r="I46" i="16"/>
  <c r="C46" i="16"/>
  <c r="A46" i="16"/>
  <c r="I45" i="16"/>
  <c r="C45" i="16"/>
  <c r="A45" i="16"/>
  <c r="I44" i="16"/>
  <c r="C44" i="16"/>
  <c r="A44" i="16"/>
  <c r="I43" i="16"/>
  <c r="C43" i="16"/>
  <c r="A43" i="16"/>
  <c r="I42" i="16"/>
  <c r="C42" i="16"/>
  <c r="A42" i="16"/>
  <c r="I41" i="16"/>
  <c r="C41" i="16"/>
  <c r="A41" i="16"/>
  <c r="I40" i="16"/>
  <c r="C40" i="16"/>
  <c r="A40" i="16"/>
  <c r="I39" i="16"/>
  <c r="C39" i="16"/>
  <c r="A39" i="16"/>
  <c r="I38" i="16"/>
  <c r="C38" i="16"/>
  <c r="A38" i="16"/>
  <c r="I37" i="16"/>
  <c r="C37" i="16"/>
  <c r="A37" i="16"/>
  <c r="I36" i="16"/>
  <c r="C36" i="16"/>
  <c r="A36" i="16"/>
  <c r="I35" i="16"/>
  <c r="C35" i="16"/>
  <c r="A35" i="16"/>
  <c r="I34" i="16"/>
  <c r="C34" i="16"/>
  <c r="A34" i="16"/>
  <c r="I33" i="16"/>
  <c r="C33" i="16"/>
  <c r="A33" i="16"/>
  <c r="I32" i="16"/>
  <c r="C32" i="16"/>
  <c r="A32" i="16"/>
  <c r="I31" i="16"/>
  <c r="C31" i="16"/>
  <c r="A31" i="16"/>
  <c r="I30" i="16"/>
  <c r="C30" i="16"/>
  <c r="A30" i="16"/>
  <c r="I29" i="16"/>
  <c r="C29" i="16"/>
  <c r="A29" i="16"/>
  <c r="I28" i="16"/>
  <c r="C28" i="16"/>
  <c r="A28" i="16"/>
  <c r="I27" i="16"/>
  <c r="C27" i="16"/>
  <c r="A27" i="16"/>
  <c r="I26" i="16"/>
  <c r="C26" i="16"/>
  <c r="A26" i="16"/>
  <c r="I25" i="16"/>
  <c r="C25" i="16"/>
  <c r="A25" i="16"/>
  <c r="I24" i="16"/>
  <c r="C24" i="16"/>
  <c r="A24" i="16"/>
  <c r="I23" i="16"/>
  <c r="C23" i="16"/>
  <c r="A23" i="16"/>
  <c r="I22" i="16"/>
  <c r="C22" i="16"/>
  <c r="A22" i="16"/>
  <c r="I21" i="16"/>
  <c r="C21" i="16"/>
  <c r="A21" i="16"/>
  <c r="I20" i="16"/>
  <c r="C20" i="16"/>
  <c r="A20" i="16"/>
  <c r="I19" i="16"/>
  <c r="C19" i="16"/>
  <c r="A19" i="16"/>
  <c r="I18" i="16"/>
  <c r="C18" i="16"/>
  <c r="A18" i="16"/>
  <c r="I17" i="16"/>
  <c r="C17" i="16"/>
  <c r="A17" i="16"/>
  <c r="I16" i="16"/>
  <c r="C16" i="16"/>
  <c r="A16" i="16"/>
  <c r="I15" i="16"/>
  <c r="C15" i="16"/>
  <c r="A15" i="16"/>
  <c r="I14" i="16"/>
  <c r="C14" i="16"/>
  <c r="A14" i="16"/>
  <c r="I13" i="16"/>
  <c r="C13" i="16"/>
  <c r="A13" i="16"/>
  <c r="I12" i="16"/>
  <c r="C12" i="16"/>
  <c r="A12" i="16"/>
  <c r="I11" i="16"/>
  <c r="C11" i="16"/>
  <c r="A11" i="16"/>
  <c r="I10" i="16"/>
  <c r="C10" i="16"/>
  <c r="A10" i="16"/>
  <c r="I9" i="16"/>
  <c r="C9" i="16"/>
  <c r="A9" i="16"/>
  <c r="I8" i="16"/>
  <c r="C8" i="16"/>
  <c r="A8" i="16"/>
  <c r="I7" i="16"/>
  <c r="C7" i="16"/>
  <c r="A7" i="16"/>
  <c r="I6" i="16"/>
  <c r="C6" i="16"/>
  <c r="A6" i="16"/>
  <c r="I5" i="16"/>
  <c r="C5" i="16"/>
  <c r="A5" i="16"/>
  <c r="I4" i="16"/>
  <c r="C4" i="16"/>
  <c r="A4" i="16"/>
  <c r="I3" i="16"/>
  <c r="C3" i="16"/>
  <c r="A3" i="16"/>
  <c r="I2" i="16"/>
  <c r="C2" i="16"/>
  <c r="A2" i="16"/>
  <c r="I16" i="15"/>
  <c r="C16" i="15"/>
  <c r="A16" i="15"/>
  <c r="I15" i="15"/>
  <c r="C15" i="15"/>
  <c r="A15" i="15"/>
  <c r="I14" i="15"/>
  <c r="C14" i="15"/>
  <c r="A14" i="15"/>
  <c r="C13" i="15"/>
  <c r="A13" i="15"/>
  <c r="I12" i="15"/>
  <c r="C12" i="15"/>
  <c r="A12" i="15"/>
  <c r="I11" i="15"/>
  <c r="C11" i="15"/>
  <c r="A11" i="15"/>
  <c r="I10" i="15"/>
  <c r="C10" i="15"/>
  <c r="A10" i="15"/>
  <c r="I9" i="15"/>
  <c r="C9" i="15"/>
  <c r="A9" i="15"/>
  <c r="I8" i="15"/>
  <c r="C8" i="15"/>
  <c r="A8" i="15"/>
  <c r="I7" i="15"/>
  <c r="C7" i="15"/>
  <c r="A7" i="15"/>
  <c r="I6" i="15"/>
  <c r="C6" i="15"/>
  <c r="A6" i="15"/>
  <c r="I5" i="15"/>
  <c r="C5" i="15"/>
  <c r="A5" i="15"/>
  <c r="I4" i="15"/>
  <c r="C4" i="15"/>
  <c r="A4" i="15"/>
  <c r="I3" i="15"/>
  <c r="C3" i="15"/>
  <c r="A3" i="15"/>
  <c r="I2" i="15"/>
  <c r="C2" i="15"/>
  <c r="A2" i="15"/>
  <c r="I26" i="14"/>
  <c r="C26" i="14"/>
  <c r="A26" i="14"/>
  <c r="I25" i="14"/>
  <c r="C25" i="14"/>
  <c r="A25" i="14"/>
  <c r="I24" i="14"/>
  <c r="C24" i="14"/>
  <c r="A24" i="14"/>
  <c r="I23" i="14"/>
  <c r="C23" i="14"/>
  <c r="A23" i="14"/>
  <c r="I22" i="14"/>
  <c r="C22" i="14"/>
  <c r="A22" i="14"/>
  <c r="I21" i="14"/>
  <c r="C21" i="14"/>
  <c r="A21" i="14"/>
  <c r="I20" i="14"/>
  <c r="C20" i="14"/>
  <c r="A20" i="14"/>
  <c r="I19" i="14"/>
  <c r="C19" i="14"/>
  <c r="A19" i="14"/>
  <c r="I18" i="14"/>
  <c r="C18" i="14"/>
  <c r="A18" i="14"/>
  <c r="I17" i="14"/>
  <c r="C17" i="14"/>
  <c r="A17" i="14"/>
  <c r="I16" i="14"/>
  <c r="C16" i="14"/>
  <c r="A16" i="14"/>
  <c r="I15" i="14"/>
  <c r="C15" i="14"/>
  <c r="A15" i="14"/>
  <c r="I14" i="14"/>
  <c r="C14" i="14"/>
  <c r="A14" i="14"/>
  <c r="I13" i="14"/>
  <c r="C13" i="14"/>
  <c r="A13" i="14"/>
  <c r="I12" i="14"/>
  <c r="C12" i="14"/>
  <c r="A12" i="14"/>
  <c r="I11" i="14"/>
  <c r="C11" i="14"/>
  <c r="A11" i="14"/>
  <c r="I10" i="14"/>
  <c r="C10" i="14"/>
  <c r="A10" i="14"/>
  <c r="I9" i="14"/>
  <c r="C9" i="14"/>
  <c r="A9" i="14"/>
  <c r="I8" i="14"/>
  <c r="C8" i="14"/>
  <c r="A8" i="14"/>
  <c r="I7" i="14"/>
  <c r="C7" i="14"/>
  <c r="A7" i="14"/>
  <c r="I6" i="14"/>
  <c r="C6" i="14"/>
  <c r="A6" i="14"/>
  <c r="I5" i="14"/>
  <c r="C5" i="14"/>
  <c r="A5" i="14"/>
  <c r="I4" i="14"/>
  <c r="C4" i="14"/>
  <c r="A4" i="14"/>
  <c r="I3" i="14"/>
  <c r="C3" i="14"/>
  <c r="A3" i="14"/>
  <c r="I2" i="14"/>
  <c r="C2" i="14"/>
  <c r="A2" i="14"/>
  <c r="I161" i="13"/>
  <c r="I160" i="13"/>
  <c r="I159" i="13"/>
  <c r="I158" i="13"/>
  <c r="I157" i="13"/>
  <c r="I156" i="13"/>
  <c r="I155" i="13"/>
  <c r="I154" i="13"/>
  <c r="I153" i="13"/>
  <c r="I152" i="13"/>
  <c r="I151" i="13"/>
  <c r="I150" i="13"/>
  <c r="I149" i="13"/>
  <c r="I148" i="13"/>
  <c r="I147" i="13"/>
  <c r="I146" i="13"/>
  <c r="I145" i="13"/>
  <c r="I144" i="13"/>
  <c r="I143" i="13"/>
  <c r="I142" i="13"/>
  <c r="I141" i="13"/>
  <c r="I140" i="13"/>
  <c r="I139" i="13"/>
  <c r="I137" i="13"/>
  <c r="I136" i="13"/>
  <c r="I135" i="13"/>
  <c r="I134" i="13"/>
  <c r="I133" i="13"/>
  <c r="I132" i="13"/>
  <c r="I131" i="13"/>
  <c r="I130" i="13"/>
  <c r="I129" i="13"/>
  <c r="I128" i="13"/>
  <c r="I127" i="13"/>
  <c r="I126" i="13"/>
  <c r="I125" i="13"/>
  <c r="I124" i="13"/>
  <c r="I123" i="13"/>
  <c r="I122" i="13"/>
  <c r="I121" i="13"/>
  <c r="I120" i="13"/>
  <c r="I119" i="13"/>
  <c r="I118" i="13"/>
  <c r="I117" i="13"/>
  <c r="I116" i="13"/>
  <c r="I115" i="13"/>
  <c r="I114" i="13"/>
  <c r="I113" i="13"/>
  <c r="I112" i="13"/>
  <c r="I111" i="13"/>
  <c r="I110" i="13"/>
  <c r="I109" i="13"/>
  <c r="I108" i="13"/>
  <c r="I107" i="13"/>
  <c r="I106" i="13"/>
  <c r="I105" i="13"/>
  <c r="I104" i="13"/>
  <c r="I103" i="13"/>
  <c r="I102" i="13"/>
  <c r="I101" i="13"/>
  <c r="I100" i="13"/>
  <c r="I99" i="13"/>
  <c r="I98" i="13"/>
  <c r="I97" i="13"/>
  <c r="I96" i="13"/>
  <c r="I95" i="13"/>
  <c r="I94" i="13"/>
  <c r="I93" i="13"/>
  <c r="I92" i="13"/>
  <c r="I91" i="13"/>
  <c r="I90" i="13"/>
  <c r="I89" i="13"/>
  <c r="I88" i="13"/>
  <c r="I87" i="13"/>
  <c r="I86" i="13"/>
  <c r="I85" i="13"/>
  <c r="I84" i="13"/>
  <c r="I83" i="13"/>
  <c r="I82" i="13"/>
  <c r="I81" i="13"/>
  <c r="I80" i="13"/>
  <c r="I79" i="13"/>
  <c r="I78" i="13"/>
  <c r="I77" i="13"/>
  <c r="I76" i="13"/>
  <c r="I75" i="13"/>
  <c r="I74" i="13"/>
  <c r="I73" i="13"/>
  <c r="I72" i="13"/>
  <c r="I71" i="13"/>
  <c r="I70" i="13"/>
  <c r="I69" i="13"/>
  <c r="I68" i="13"/>
  <c r="I67" i="13"/>
  <c r="I66" i="13"/>
  <c r="I65" i="13"/>
  <c r="I64" i="13"/>
  <c r="I63" i="13"/>
  <c r="I62" i="13"/>
  <c r="I61" i="13"/>
  <c r="I60" i="13"/>
  <c r="I59" i="13"/>
  <c r="I58" i="13"/>
  <c r="I57" i="13"/>
  <c r="I56" i="13"/>
  <c r="I55" i="13"/>
  <c r="I54" i="13"/>
  <c r="I53" i="13"/>
  <c r="I52" i="13"/>
  <c r="I51" i="13"/>
  <c r="I50" i="13"/>
  <c r="I49" i="13"/>
  <c r="I48" i="13"/>
  <c r="I47" i="13"/>
  <c r="I46" i="13"/>
  <c r="I45" i="13"/>
  <c r="I44" i="13"/>
  <c r="I43" i="13"/>
  <c r="I42" i="13"/>
  <c r="I41" i="13"/>
  <c r="I40" i="13"/>
  <c r="I39" i="13"/>
  <c r="I38" i="13"/>
  <c r="I37" i="13"/>
  <c r="I36" i="13"/>
  <c r="I35" i="13"/>
  <c r="I34" i="13"/>
  <c r="I33" i="13"/>
  <c r="I32" i="13"/>
  <c r="I31" i="13"/>
  <c r="I30" i="13"/>
  <c r="I29" i="13"/>
  <c r="I28" i="13"/>
  <c r="I27" i="13"/>
  <c r="I26" i="13"/>
  <c r="I25" i="13"/>
  <c r="I24" i="13"/>
  <c r="I23" i="13"/>
  <c r="I22" i="13"/>
  <c r="I21" i="13"/>
  <c r="I20" i="13"/>
  <c r="I19" i="13"/>
  <c r="I18" i="13"/>
  <c r="I17" i="13"/>
  <c r="I16" i="13"/>
  <c r="I15" i="13"/>
  <c r="I14" i="13"/>
  <c r="I13" i="13"/>
  <c r="I12" i="13"/>
  <c r="I11" i="13"/>
  <c r="I10" i="13"/>
  <c r="I9" i="13"/>
  <c r="I8" i="13"/>
  <c r="I7" i="13"/>
  <c r="I6" i="13"/>
  <c r="I5" i="13"/>
  <c r="I4" i="13"/>
  <c r="I2" i="13"/>
  <c r="C112" i="8"/>
  <c r="C111" i="8"/>
  <c r="C110" i="8"/>
  <c r="C109" i="8"/>
  <c r="C108" i="8"/>
  <c r="C107" i="8"/>
  <c r="C106" i="8"/>
  <c r="C105" i="8"/>
  <c r="C104" i="8"/>
  <c r="C103" i="8"/>
  <c r="C102" i="8"/>
  <c r="C101" i="8"/>
  <c r="C100" i="8"/>
  <c r="C99" i="8"/>
  <c r="C98" i="8"/>
  <c r="C97" i="8"/>
  <c r="C96" i="8"/>
  <c r="C95" i="8"/>
  <c r="C94" i="8"/>
  <c r="C93" i="8"/>
  <c r="C92" i="8"/>
  <c r="C91" i="8"/>
  <c r="C90" i="8"/>
  <c r="C89" i="8"/>
  <c r="C88" i="8"/>
  <c r="C87" i="8"/>
  <c r="C86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55" i="8"/>
  <c r="C54" i="8"/>
  <c r="C53" i="8"/>
  <c r="C52" i="8"/>
  <c r="C51" i="8"/>
  <c r="C50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A112" i="8"/>
  <c r="A111" i="8"/>
  <c r="A110" i="8"/>
  <c r="A109" i="8"/>
  <c r="A108" i="8"/>
  <c r="A107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5" i="8"/>
  <c r="A4" i="8"/>
  <c r="A3" i="8"/>
  <c r="A2" i="8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A11" i="6"/>
  <c r="A10" i="6"/>
  <c r="A9" i="6"/>
  <c r="A8" i="6"/>
  <c r="A7" i="6"/>
  <c r="A6" i="6"/>
  <c r="A5" i="6"/>
  <c r="A4" i="6"/>
  <c r="A3" i="6"/>
  <c r="A2" i="6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A75" i="4"/>
  <c r="A74" i="4"/>
  <c r="A73" i="4"/>
  <c r="A72" i="4"/>
  <c r="A71" i="4"/>
  <c r="A70" i="4"/>
  <c r="A69" i="4"/>
  <c r="A68" i="4"/>
  <c r="A67" i="4"/>
  <c r="A66" i="4"/>
  <c r="A65" i="4"/>
  <c r="A64" i="4"/>
  <c r="A63" i="4"/>
  <c r="A62" i="4"/>
  <c r="A61" i="4"/>
  <c r="A60" i="4"/>
  <c r="A59" i="4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  <c r="A6" i="4"/>
  <c r="A5" i="4"/>
  <c r="A4" i="4"/>
  <c r="A3" i="4"/>
  <c r="A2" i="4"/>
  <c r="I106" i="8" l="1"/>
  <c r="I24" i="8"/>
  <c r="I24" i="4"/>
  <c r="I75" i="4"/>
  <c r="I74" i="4"/>
  <c r="I73" i="4"/>
  <c r="I72" i="4"/>
  <c r="I71" i="4"/>
  <c r="I70" i="4"/>
  <c r="I69" i="4"/>
  <c r="I68" i="4"/>
  <c r="I67" i="4"/>
  <c r="I66" i="4"/>
  <c r="I65" i="4"/>
  <c r="I64" i="4"/>
  <c r="I63" i="4"/>
  <c r="I62" i="4"/>
  <c r="I61" i="4"/>
  <c r="I59" i="4"/>
  <c r="I58" i="4"/>
  <c r="I57" i="4"/>
  <c r="I56" i="4"/>
  <c r="I55" i="4"/>
  <c r="I54" i="4"/>
  <c r="I53" i="4"/>
  <c r="I52" i="4"/>
  <c r="I51" i="4"/>
  <c r="I50" i="4"/>
  <c r="I49" i="4"/>
  <c r="I48" i="4"/>
  <c r="I47" i="4"/>
  <c r="I46" i="4"/>
  <c r="I45" i="4"/>
  <c r="I44" i="4"/>
  <c r="I43" i="4"/>
  <c r="I42" i="4"/>
  <c r="I41" i="4"/>
  <c r="I40" i="4"/>
  <c r="I39" i="4"/>
  <c r="I38" i="4"/>
  <c r="I37" i="4"/>
  <c r="I36" i="4"/>
  <c r="I35" i="4"/>
  <c r="I34" i="4"/>
  <c r="I33" i="4"/>
  <c r="I32" i="4"/>
  <c r="I31" i="4"/>
  <c r="I30" i="4"/>
  <c r="I29" i="4"/>
  <c r="I28" i="4"/>
  <c r="I27" i="4"/>
  <c r="I26" i="4"/>
  <c r="I25" i="4"/>
  <c r="I23" i="4"/>
  <c r="I22" i="4"/>
  <c r="I21" i="4"/>
  <c r="I20" i="4"/>
  <c r="I19" i="4"/>
  <c r="I18" i="4"/>
  <c r="I17" i="4"/>
  <c r="I16" i="4"/>
  <c r="I15" i="4"/>
  <c r="I14" i="4"/>
  <c r="I13" i="4"/>
  <c r="I12" i="4"/>
  <c r="I11" i="4"/>
  <c r="I10" i="4"/>
  <c r="I9" i="4"/>
  <c r="I8" i="4"/>
  <c r="I7" i="4"/>
  <c r="I6" i="4"/>
  <c r="I5" i="4"/>
  <c r="I4" i="4"/>
  <c r="I3" i="4"/>
  <c r="I2" i="4"/>
  <c r="I60" i="4" l="1"/>
  <c r="I5" i="8" l="1"/>
  <c r="I4" i="8"/>
  <c r="I88" i="8"/>
  <c r="I112" i="8"/>
  <c r="I111" i="8"/>
  <c r="I110" i="8"/>
  <c r="I109" i="8"/>
  <c r="I108" i="8"/>
  <c r="I107" i="8"/>
  <c r="I105" i="8"/>
  <c r="I104" i="8"/>
  <c r="I103" i="8"/>
  <c r="I102" i="8"/>
  <c r="I101" i="8"/>
  <c r="I100" i="8"/>
  <c r="I99" i="8"/>
  <c r="I98" i="8"/>
  <c r="I97" i="8"/>
  <c r="I96" i="8"/>
  <c r="I95" i="8"/>
  <c r="I94" i="8"/>
  <c r="I93" i="8"/>
  <c r="I92" i="8"/>
  <c r="I91" i="8"/>
  <c r="I90" i="8"/>
  <c r="I89" i="8"/>
  <c r="I87" i="8"/>
  <c r="I86" i="8"/>
  <c r="I85" i="8"/>
  <c r="I84" i="8"/>
  <c r="I83" i="8"/>
  <c r="I82" i="8"/>
  <c r="I81" i="8"/>
  <c r="I80" i="8"/>
  <c r="I79" i="8"/>
  <c r="I78" i="8"/>
  <c r="I77" i="8"/>
  <c r="I76" i="8"/>
  <c r="I75" i="8"/>
  <c r="I74" i="8"/>
  <c r="I73" i="8"/>
  <c r="I72" i="8"/>
  <c r="I71" i="8"/>
  <c r="I70" i="8"/>
  <c r="I69" i="8"/>
  <c r="I68" i="8"/>
  <c r="I67" i="8"/>
  <c r="I66" i="8"/>
  <c r="I65" i="8"/>
  <c r="I64" i="8"/>
  <c r="I63" i="8"/>
  <c r="I62" i="8"/>
  <c r="I61" i="8"/>
  <c r="I60" i="8"/>
  <c r="I59" i="8"/>
  <c r="I58" i="8"/>
  <c r="I57" i="8"/>
  <c r="I56" i="8"/>
  <c r="I55" i="8"/>
  <c r="I54" i="8"/>
  <c r="I53" i="8"/>
  <c r="I52" i="8"/>
  <c r="I51" i="8"/>
  <c r="I50" i="8"/>
  <c r="I49" i="8"/>
  <c r="I48" i="8"/>
  <c r="I47" i="8"/>
  <c r="I46" i="8"/>
  <c r="I45" i="8"/>
  <c r="I44" i="8"/>
  <c r="I43" i="8"/>
  <c r="I42" i="8"/>
  <c r="I41" i="8"/>
  <c r="I40" i="8"/>
  <c r="I39" i="8"/>
  <c r="I38" i="8"/>
  <c r="I37" i="8"/>
  <c r="I36" i="8"/>
  <c r="I35" i="8"/>
  <c r="I34" i="8"/>
  <c r="I33" i="8"/>
  <c r="I32" i="8"/>
  <c r="I31" i="8"/>
  <c r="I30" i="8"/>
  <c r="I29" i="8"/>
  <c r="I28" i="8"/>
  <c r="I27" i="8"/>
  <c r="I26" i="8"/>
  <c r="I25" i="8"/>
  <c r="I23" i="8"/>
  <c r="I22" i="8"/>
  <c r="I21" i="8"/>
  <c r="I20" i="8"/>
  <c r="I19" i="8"/>
  <c r="I18" i="8"/>
  <c r="I17" i="8"/>
  <c r="I16" i="8"/>
  <c r="I15" i="8"/>
  <c r="I14" i="8"/>
  <c r="I13" i="8"/>
  <c r="I12" i="8"/>
  <c r="I11" i="8"/>
  <c r="I10" i="8"/>
  <c r="I9" i="8"/>
  <c r="I8" i="8"/>
  <c r="I7" i="8"/>
  <c r="I6" i="8"/>
  <c r="I3" i="8"/>
  <c r="I2" i="8"/>
  <c r="I16" i="6"/>
  <c r="I15" i="6"/>
  <c r="I14" i="6"/>
  <c r="I13" i="6"/>
  <c r="I12" i="6"/>
  <c r="I11" i="6"/>
  <c r="I10" i="6"/>
  <c r="I9" i="6"/>
  <c r="I8" i="6"/>
  <c r="I7" i="6"/>
  <c r="I6" i="6"/>
  <c r="I5" i="6"/>
  <c r="I4" i="6"/>
  <c r="I3" i="6"/>
  <c r="I2" i="6"/>
</calcChain>
</file>

<file path=xl/sharedStrings.xml><?xml version="1.0" encoding="utf-8"?>
<sst xmlns="http://schemas.openxmlformats.org/spreadsheetml/2006/main" count="2211" uniqueCount="1111">
  <si>
    <t>num_conta</t>
  </si>
  <si>
    <t>conta_principal</t>
  </si>
  <si>
    <t>num_subconta</t>
  </si>
  <si>
    <t>subconta</t>
  </si>
  <si>
    <t>num_conta_movimento</t>
  </si>
  <si>
    <t>nome_conta</t>
  </si>
  <si>
    <t>debito</t>
  </si>
  <si>
    <t>credito</t>
  </si>
  <si>
    <t>saldo</t>
  </si>
  <si>
    <t>DISPONIBILIDADES</t>
  </si>
  <si>
    <t>1.10.10</t>
  </si>
  <si>
    <t>NUMERÁRIO</t>
  </si>
  <si>
    <t>Numerário</t>
  </si>
  <si>
    <t>1.10.20</t>
  </si>
  <si>
    <t>DISPONIBILIDADES EM INSTITUIÇÕES FINANCEIRAS</t>
  </si>
  <si>
    <t>1.10.20.10</t>
  </si>
  <si>
    <t>Depósitos à Ordem em Moeda Nacional</t>
  </si>
  <si>
    <t>1.10.20.20</t>
  </si>
  <si>
    <t>Depósitos à Ordem em Moeda Estrangeira</t>
  </si>
  <si>
    <t>1.10.30</t>
  </si>
  <si>
    <t>APLICAÇÕES EM OURO EM OURO</t>
  </si>
  <si>
    <t>Aplicações em Ouro</t>
  </si>
  <si>
    <t>1.10.40</t>
  </si>
  <si>
    <t>CERTIFICADOS  DE DEPÓSITO</t>
  </si>
  <si>
    <t>Certificados de Depósito</t>
  </si>
  <si>
    <t>1.10.50</t>
  </si>
  <si>
    <t>DEPÓSITOS A PRAZO</t>
  </si>
  <si>
    <t>Depósitos a Prazo</t>
  </si>
  <si>
    <t>1.10.90</t>
  </si>
  <si>
    <t>OUTROS</t>
  </si>
  <si>
    <t xml:space="preserve">Outros </t>
  </si>
  <si>
    <t>APLICAÇÕES FINANCEIRAS DE LIQUIDEZ</t>
  </si>
  <si>
    <t>1.20.10</t>
  </si>
  <si>
    <t>OPERAÇÕES DE COMPRA DE TÍTULOS DE TERCEIROS COM ACORDO DE REVENDA</t>
  </si>
  <si>
    <t>1.20.10.10</t>
  </si>
  <si>
    <t>Títulos da Dívida Pública</t>
  </si>
  <si>
    <t>1.20.10.20</t>
  </si>
  <si>
    <t>Títulos do Banco Central</t>
  </si>
  <si>
    <t>1.20.10.30</t>
  </si>
  <si>
    <t>Outros Títulos</t>
  </si>
  <si>
    <t>1.20.20</t>
  </si>
  <si>
    <t>OPERAÇÕES DE VENDA DE TÍTULOS DE TERCEIROS COM ACORDO DE REVENDA</t>
  </si>
  <si>
    <t>1.20.20.10</t>
  </si>
  <si>
    <t>1.20.20.20</t>
  </si>
  <si>
    <t>1.20.20.30</t>
  </si>
  <si>
    <t>1.20.30</t>
  </si>
  <si>
    <t>Revenda a Liquidar - Câmaras de Liquidação e Compensação</t>
  </si>
  <si>
    <t>1.20.40</t>
  </si>
  <si>
    <t>EXCEDENTE DE LIQUIDEZ</t>
  </si>
  <si>
    <t>1.20.40.10</t>
  </si>
  <si>
    <t>Excedentes de Liquidez por Sobrecolaterização</t>
  </si>
  <si>
    <t>1.20.40.20</t>
  </si>
  <si>
    <t>Fundo de Garantia</t>
  </si>
  <si>
    <t>1.20.50</t>
  </si>
  <si>
    <t>INCUMPRIMENTO DE OPERAÇÕES DE LIQUIDEZ</t>
  </si>
  <si>
    <t>1.20.50.10</t>
  </si>
  <si>
    <t>Devedores por Operações de Regularização de Compra de Títulos</t>
  </si>
  <si>
    <t>1.20.50.20</t>
  </si>
  <si>
    <t>Outros Valores</t>
  </si>
  <si>
    <t>TÍTULOS E VALORES MOBILIÁRIOS</t>
  </si>
  <si>
    <t>1.30.10</t>
  </si>
  <si>
    <t>TÍTULOS DE RENDIMENTO FIXO</t>
  </si>
  <si>
    <t>1.30.10.10</t>
  </si>
  <si>
    <t>Títulos de Dívida Pública</t>
  </si>
  <si>
    <t>1.30.10.20</t>
  </si>
  <si>
    <t>Títulos de Dívida Corporativa</t>
  </si>
  <si>
    <t>1.30.10.30</t>
  </si>
  <si>
    <t>1.30.20</t>
  </si>
  <si>
    <t>TÍTULOS DE RENDIMENTO VARIÁVEL</t>
  </si>
  <si>
    <t>1.30.20.10</t>
  </si>
  <si>
    <t>1.30.20.20</t>
  </si>
  <si>
    <t>1.30.20.30</t>
  </si>
  <si>
    <t>Acções</t>
  </si>
  <si>
    <t>1.30.20.40</t>
  </si>
  <si>
    <t>Outros títulos</t>
  </si>
  <si>
    <t>1.30.30</t>
  </si>
  <si>
    <t>VALORES EMPRESTADOS</t>
  </si>
  <si>
    <t>1.30.30.10</t>
  </si>
  <si>
    <t>1.30.30.20</t>
  </si>
  <si>
    <t>Obrigações</t>
  </si>
  <si>
    <t>1.30.30.30</t>
  </si>
  <si>
    <t>Outros Títulos de Capital</t>
  </si>
  <si>
    <t>1.30.30.40</t>
  </si>
  <si>
    <t>Outros Direitos</t>
  </si>
  <si>
    <t>1.30.40</t>
  </si>
  <si>
    <t>UNIDADES DE PARTICIPAÇÃO EM FUNDOS DE INVESTIMENTO</t>
  </si>
  <si>
    <t>1.30.40.10</t>
  </si>
  <si>
    <t>Fundos de Investimento Mobiliário</t>
  </si>
  <si>
    <t>1.30.40.20</t>
  </si>
  <si>
    <t>Fundos de Investimento Imobiliário</t>
  </si>
  <si>
    <t>1.30.50</t>
  </si>
  <si>
    <t>OIC DE TITULARIZAÇÃO</t>
  </si>
  <si>
    <t>1.30.50.10</t>
  </si>
  <si>
    <t>Titularização de Crédito</t>
  </si>
  <si>
    <t>1.30.50.20</t>
  </si>
  <si>
    <t>Outros</t>
  </si>
  <si>
    <t>1.30.60</t>
  </si>
  <si>
    <t>OIC DE CAPITAL DE RISCO</t>
  </si>
  <si>
    <t>OIC de Capital de Risco</t>
  </si>
  <si>
    <t>1.30.70</t>
  </si>
  <si>
    <t>PARTICIPAÇÕES EM SOCIEDADES DE INVESTIMENTOS</t>
  </si>
  <si>
    <t>1.30.70.10.10</t>
  </si>
  <si>
    <t>1.30.70.10.20</t>
  </si>
  <si>
    <t>Direitos de Subscrição</t>
  </si>
  <si>
    <t>1.30.70.10.30</t>
  </si>
  <si>
    <t>Outras Participações</t>
  </si>
  <si>
    <t>1.30.70.20.10</t>
  </si>
  <si>
    <t>1.30.70.20.20</t>
  </si>
  <si>
    <t>1.30.70.20.30</t>
  </si>
  <si>
    <t>1.30.80</t>
  </si>
  <si>
    <t>Títulos e Valores Mobiliários de Sociedades em Regime Especial</t>
  </si>
  <si>
    <t>1.30.90</t>
  </si>
  <si>
    <t>VINCULADOS À PRESTAÇÃO DE GARANTIAS</t>
  </si>
  <si>
    <t>1.30.90.10.10</t>
  </si>
  <si>
    <t>1.30.90.10.20</t>
  </si>
  <si>
    <t>1.30.90.10.30</t>
  </si>
  <si>
    <t>1.30.90.20.10</t>
  </si>
  <si>
    <t>1.30.90.20.20</t>
  </si>
  <si>
    <t>1.30.90.20.30</t>
  </si>
  <si>
    <t>1.30.90.30.10</t>
  </si>
  <si>
    <t>1.30.90.30.20</t>
  </si>
  <si>
    <t>1.30.90.30.30</t>
  </si>
  <si>
    <t>1.30.90.30.40</t>
  </si>
  <si>
    <t>Activos Não Financeiros</t>
  </si>
  <si>
    <t>1.30.90.40.10</t>
  </si>
  <si>
    <t>1.30.90.40.20</t>
  </si>
  <si>
    <t>1.30.90.40.30</t>
  </si>
  <si>
    <t>Devedores de Valores Emprestados</t>
  </si>
  <si>
    <t>1.30.90.50.10</t>
  </si>
  <si>
    <t>1.30.90.50.20</t>
  </si>
  <si>
    <t>1.30.90.50.30</t>
  </si>
  <si>
    <t>Valores Emprestados</t>
  </si>
  <si>
    <t>PARTICIPAÇÕES SOCIAIS</t>
  </si>
  <si>
    <t>1.40.10</t>
  </si>
  <si>
    <t>ACÇÕES</t>
  </si>
  <si>
    <t>1.40.20</t>
  </si>
  <si>
    <t xml:space="preserve">UNIDADES DE PARTICIPAÇÃO </t>
  </si>
  <si>
    <t>Unidades de Participação</t>
  </si>
  <si>
    <t>1.40.30</t>
  </si>
  <si>
    <t>OUTRAS PARTICIPAÇÕES</t>
  </si>
  <si>
    <t>1.40.30.10</t>
  </si>
  <si>
    <t>Quotas</t>
  </si>
  <si>
    <t>1.40.30.20.10</t>
  </si>
  <si>
    <t>1.40.30.20.20</t>
  </si>
  <si>
    <t>Direitos de Incorporação</t>
  </si>
  <si>
    <t>1.40.30.30</t>
  </si>
  <si>
    <t>Outras</t>
  </si>
  <si>
    <t>INSTRUMENTOS FINANCEIROS DERIVADOS</t>
  </si>
  <si>
    <t>1.50.10</t>
  </si>
  <si>
    <t>OPERAÇÕES SWAP</t>
  </si>
  <si>
    <t>1.50.10.10</t>
  </si>
  <si>
    <t>Diferencial a Receber</t>
  </si>
  <si>
    <t>1.50.10.20</t>
  </si>
  <si>
    <t>Diferencial a Receber - Operações com Garantia</t>
  </si>
  <si>
    <t>1.50.20</t>
  </si>
  <si>
    <t>COMPRAS A TERMO A RECEBER</t>
  </si>
  <si>
    <t>1.50.20.10</t>
  </si>
  <si>
    <t>Operações com Acções</t>
  </si>
  <si>
    <t>1.50.20.20</t>
  </si>
  <si>
    <t>Operações com Activos Financeiros e Mercadorias</t>
  </si>
  <si>
    <t>1.50.30</t>
  </si>
  <si>
    <t>VENDAS A TERMO A COBRAR</t>
  </si>
  <si>
    <t>1.50.30.10</t>
  </si>
  <si>
    <t>1.50.30.20</t>
  </si>
  <si>
    <t>Futuros</t>
  </si>
  <si>
    <t>1.50.40</t>
  </si>
  <si>
    <t>CONTRACTO DE FUTURO</t>
  </si>
  <si>
    <t>1.50.40.10</t>
  </si>
  <si>
    <t>Futuros (valor do contracto)</t>
  </si>
  <si>
    <t>1.50.40.20</t>
  </si>
  <si>
    <t>Ajustes Diários</t>
  </si>
  <si>
    <t>1.50.50</t>
  </si>
  <si>
    <t>OPERAÇÕES COM OPÇÕES</t>
  </si>
  <si>
    <t>1.50.50.10</t>
  </si>
  <si>
    <t>Compras de Opções de Compra</t>
  </si>
  <si>
    <t>1.50.50.20</t>
  </si>
  <si>
    <t>Compras de Opções de Venda</t>
  </si>
  <si>
    <t>1.50.60</t>
  </si>
  <si>
    <t>OUTROS INSTRUMENTOS FINANCEIROS DERIVADOS</t>
  </si>
  <si>
    <t>1.50.60.10</t>
  </si>
  <si>
    <t>1.50.60.20</t>
  </si>
  <si>
    <t>1.50.60.30</t>
  </si>
  <si>
    <t>Warrants</t>
  </si>
  <si>
    <t>1.50.70</t>
  </si>
  <si>
    <t>INCUMPRIMENTOS POR INSTRUMENTOS FINANCEIROS DERIVADOS</t>
  </si>
  <si>
    <t>1.50.70.10</t>
  </si>
  <si>
    <t>Devedores por Operações de SWAP</t>
  </si>
  <si>
    <t>1.50.70.20</t>
  </si>
  <si>
    <t>Devedores por Compras a Termo a Receber</t>
  </si>
  <si>
    <t>1.50.70.30</t>
  </si>
  <si>
    <t>Devedores por Vendas a Termo a Cobrar</t>
  </si>
  <si>
    <t>1.50.70.40</t>
  </si>
  <si>
    <t>Devedores de Contracto de Futuros</t>
  </si>
  <si>
    <t>1.50.70.50</t>
  </si>
  <si>
    <t>Devedores de Operações com Opções</t>
  </si>
  <si>
    <t>1.50.70.60</t>
  </si>
  <si>
    <t>Devedores de Outros Instrumentos Financeiros Derivados</t>
  </si>
  <si>
    <t>CRÉDITOS</t>
  </si>
  <si>
    <t>1.60.10</t>
  </si>
  <si>
    <t>RENDAS A RECEBER</t>
  </si>
  <si>
    <t>1.60.10.10</t>
  </si>
  <si>
    <t>Dividendos e Bonificações em Dinheiro a Receber</t>
  </si>
  <si>
    <t>1.60.10.20</t>
  </si>
  <si>
    <t>Juros sobre o Capital Próprio em Dinheiro a Receber</t>
  </si>
  <si>
    <t>1.60.10.30</t>
  </si>
  <si>
    <t>Outras Rendas a Receber</t>
  </si>
  <si>
    <t>1.60.20</t>
  </si>
  <si>
    <t>CRÉDITOS TITULARIZÁVEIS</t>
  </si>
  <si>
    <t>1.60.20.10</t>
  </si>
  <si>
    <t>Créditos Hipotecários</t>
  </si>
  <si>
    <t>1.60.20.20</t>
  </si>
  <si>
    <t>Créditos de Consumo</t>
  </si>
  <si>
    <t>1.60.20.30</t>
  </si>
  <si>
    <t>Créditos sobre Estado e outras Pessoas Colectivas Públicas</t>
  </si>
  <si>
    <t>1.60.20.40</t>
  </si>
  <si>
    <t>Crédito de Fundos de Pensões</t>
  </si>
  <si>
    <t>1.60.20.60</t>
  </si>
  <si>
    <t>Outros Créditos</t>
  </si>
  <si>
    <t>1.60.30</t>
  </si>
  <si>
    <t>CONTA DE REGULARIZAÇÃO DE CRÉDITOS</t>
  </si>
  <si>
    <t>1.60.30.10</t>
  </si>
  <si>
    <t>Desconto Face ao Valor Nominal</t>
  </si>
  <si>
    <t>1.60.30.20</t>
  </si>
  <si>
    <t>Prémio Face ao Valor Nominal</t>
  </si>
  <si>
    <t>1.60.40</t>
  </si>
  <si>
    <t>VALORES A RECEBER DE SOCIEDADES GERIDAS</t>
  </si>
  <si>
    <t>1.60.40.10</t>
  </si>
  <si>
    <t>Comissão de Gestão</t>
  </si>
  <si>
    <t>1.60.40.20</t>
  </si>
  <si>
    <t>Prémio de Desempenho</t>
  </si>
  <si>
    <t>1.60.40.30</t>
  </si>
  <si>
    <t>Comissão de Subscrição e Resgate</t>
  </si>
  <si>
    <t>1.60.50</t>
  </si>
  <si>
    <t>VALORES A RECEBER</t>
  </si>
  <si>
    <t>1.60.50.10</t>
  </si>
  <si>
    <t>Depositário</t>
  </si>
  <si>
    <t>1.60.50.20</t>
  </si>
  <si>
    <t>Gestor de Créditos</t>
  </si>
  <si>
    <t>1.60.50.30</t>
  </si>
  <si>
    <t>Entidades de Intermediação</t>
  </si>
  <si>
    <t>1.60.60</t>
  </si>
  <si>
    <t>INCUMPRIMENTO POR CRÉDITOS VENCIDOS</t>
  </si>
  <si>
    <t>1.60.60.10</t>
  </si>
  <si>
    <t>Devedores de Rendas a Receber</t>
  </si>
  <si>
    <t>1.60.60.20</t>
  </si>
  <si>
    <t>Devedores de Créditos Titularizáveis</t>
  </si>
  <si>
    <t>1.60.60.30</t>
  </si>
  <si>
    <t>Devedores de outros Direitos Titularizáveis</t>
  </si>
  <si>
    <t>1.60.70</t>
  </si>
  <si>
    <t>INCUMPRIMENTO POR JUROS VENCIDOS</t>
  </si>
  <si>
    <t>1.60.70.10</t>
  </si>
  <si>
    <t>1.60.70.20</t>
  </si>
  <si>
    <t>1.60.70.30</t>
  </si>
  <si>
    <t>1.60.80</t>
  </si>
  <si>
    <t>PROVISÕES ACUMULADAS</t>
  </si>
  <si>
    <t>1.60.80.10</t>
  </si>
  <si>
    <t>Rendas</t>
  </si>
  <si>
    <t>1.60.80.20</t>
  </si>
  <si>
    <t>Créditos Titularizáveis</t>
  </si>
  <si>
    <t>1.60.80.30</t>
  </si>
  <si>
    <t>Devedores por Créditos Vencidos</t>
  </si>
  <si>
    <t>1.60.80.40</t>
  </si>
  <si>
    <t>Devedores por Juros Vencidos</t>
  </si>
  <si>
    <t>1.60.90</t>
  </si>
  <si>
    <t>OUTROS VALORES</t>
  </si>
  <si>
    <t>1.60.90.10</t>
  </si>
  <si>
    <t xml:space="preserve">Outros Valores de Natureza Social e Estatutária </t>
  </si>
  <si>
    <t>OUTROS VALORES DE NATUREZA FISCAL</t>
  </si>
  <si>
    <t>1.60.90.20.10.10.10</t>
  </si>
  <si>
    <t>Activos Tangíveis e Intangíveis</t>
  </si>
  <si>
    <t>1.60.90.20.10.10.20</t>
  </si>
  <si>
    <t>Outros Bens e Serviços</t>
  </si>
  <si>
    <t>OUTROS VALORES DE NATUREZA FISCAL (IVA Dedutivel)</t>
  </si>
  <si>
    <t>1.60.90.20.10.20.10</t>
  </si>
  <si>
    <t>1.60.90.20.10.20.20</t>
  </si>
  <si>
    <t>OUTROS VALORES DE NATUREZA FISCAL (IVA Regularizações)</t>
  </si>
  <si>
    <t>1.60.90.20.10.30.10</t>
  </si>
  <si>
    <t>Mensais a Favor do Sujeito Passivo</t>
  </si>
  <si>
    <t>1.60.90.20.10.30.20</t>
  </si>
  <si>
    <t>Anual por Cálculo do Pro-rata</t>
  </si>
  <si>
    <t>1.60.90.20.10.30.30</t>
  </si>
  <si>
    <t xml:space="preserve">Outras Regularizações Anuais </t>
  </si>
  <si>
    <t>1.60.90.20.10.40</t>
  </si>
  <si>
    <t>IVA Recuperar</t>
  </si>
  <si>
    <t>OUTROS VALORES DE NATUREZA FISCAL (IVA Reembolso)</t>
  </si>
  <si>
    <t>1.60.90.20.10.50.10</t>
  </si>
  <si>
    <t xml:space="preserve">Reembolsos Pedidos </t>
  </si>
  <si>
    <t>1.60.90.20.10.50.20</t>
  </si>
  <si>
    <t xml:space="preserve">Reembolsos Deferidos </t>
  </si>
  <si>
    <t>1.60.90.20.10.50.30</t>
  </si>
  <si>
    <t xml:space="preserve">Reembolsos Indeferidos </t>
  </si>
  <si>
    <t>1.60.90.20.10.50.40</t>
  </si>
  <si>
    <t xml:space="preserve">Reembolsos Reclamados, Recorridos ou Impugnados </t>
  </si>
  <si>
    <t>1.60.90.20.10.60</t>
  </si>
  <si>
    <t>Certificado de Crédito a Compensar</t>
  </si>
  <si>
    <t>1.60.90.20.10.70</t>
  </si>
  <si>
    <t>IVA Liquidações Oficiosas</t>
  </si>
  <si>
    <t>1.60.99</t>
  </si>
  <si>
    <t>OPERAÇÕES A REGULARIZAR</t>
  </si>
  <si>
    <t>Operações a Regularizar</t>
  </si>
  <si>
    <t>NEGOCIAÇÃO E INTERMEDIAÇÃO DE VALORES</t>
  </si>
  <si>
    <t>1.70.10</t>
  </si>
  <si>
    <t>BOLSAS - DEPÓSITOS EM GARANTIA</t>
  </si>
  <si>
    <t>1.70.10.10</t>
  </si>
  <si>
    <t>1.70.10.20</t>
  </si>
  <si>
    <t>Operações com Índices de Acções</t>
  </si>
  <si>
    <t>1.70.10.30</t>
  </si>
  <si>
    <t>1.70.10.40</t>
  </si>
  <si>
    <t>Outras Operações</t>
  </si>
  <si>
    <t>1.70.20</t>
  </si>
  <si>
    <t>DIVERSOS</t>
  </si>
  <si>
    <t>1.70.20.10</t>
  </si>
  <si>
    <t>Cheques a Receber</t>
  </si>
  <si>
    <t>1.70.20.20</t>
  </si>
  <si>
    <t>Devedores Diversos</t>
  </si>
  <si>
    <t>ACTIVOS IMOBILIÁRIOS</t>
  </si>
  <si>
    <t>1.80.10</t>
  </si>
  <si>
    <t>TERRENOS</t>
  </si>
  <si>
    <t>1.80.10.10.10</t>
  </si>
  <si>
    <t>Arrendados</t>
  </si>
  <si>
    <t>1.80.10.10.20</t>
  </si>
  <si>
    <t>Não Arrendados</t>
  </si>
  <si>
    <t>1.80.10.20.10</t>
  </si>
  <si>
    <t>1.80.10.20.20</t>
  </si>
  <si>
    <t>1.80.10.30.10</t>
  </si>
  <si>
    <t>Prédios Mistos</t>
  </si>
  <si>
    <t>1.80.20</t>
  </si>
  <si>
    <t>CONSTRUÇÕES</t>
  </si>
  <si>
    <t>1.80.20.10.10</t>
  </si>
  <si>
    <t>1.80.20.10.20</t>
  </si>
  <si>
    <t>1.80.20.20.10</t>
  </si>
  <si>
    <t>Projectos de construção de reabilitação</t>
  </si>
  <si>
    <t>1.80.20.20.20</t>
  </si>
  <si>
    <t>Outros projectos de construção</t>
  </si>
  <si>
    <t>1.80.30</t>
  </si>
  <si>
    <t>DIREITOS</t>
  </si>
  <si>
    <t>1.80.30.10</t>
  </si>
  <si>
    <t>Arrendamento</t>
  </si>
  <si>
    <t>1.80.30.20</t>
  </si>
  <si>
    <t>Concessão</t>
  </si>
  <si>
    <t>1.80.30.30</t>
  </si>
  <si>
    <t>Exploração</t>
  </si>
  <si>
    <t>1.80.30.40</t>
  </si>
  <si>
    <t>Superfície</t>
  </si>
  <si>
    <t>1.80.30.50</t>
  </si>
  <si>
    <t>1.80.40</t>
  </si>
  <si>
    <t>ADIANTAMENTO PARA COMPRAS DE IMÓVEIS</t>
  </si>
  <si>
    <t>1.80.40.10.10</t>
  </si>
  <si>
    <t>Urbanizados</t>
  </si>
  <si>
    <t>1.80.40.10.20</t>
  </si>
  <si>
    <t>Não Urbanizados</t>
  </si>
  <si>
    <t>1.80.40.10.30</t>
  </si>
  <si>
    <t>Outros Terrenos</t>
  </si>
  <si>
    <t>1.80.40.20.10</t>
  </si>
  <si>
    <t>Acabadas</t>
  </si>
  <si>
    <t>1.80.40.20.20</t>
  </si>
  <si>
    <t>Em Curso</t>
  </si>
  <si>
    <t>1.80.50</t>
  </si>
  <si>
    <t>Outros Activos</t>
  </si>
  <si>
    <t>1.80.60</t>
  </si>
  <si>
    <t>ACTIVOS FIXOS TANGÍVEIS DAS SOCIEDADES</t>
  </si>
  <si>
    <t>1.80.60.10.10</t>
  </si>
  <si>
    <t>Terrenos</t>
  </si>
  <si>
    <t>1.80.60.10.20</t>
  </si>
  <si>
    <t>Edifícios</t>
  </si>
  <si>
    <t>1.80.60.20</t>
  </si>
  <si>
    <t>Activos Fixos Tangíveis em Locação Financeira</t>
  </si>
  <si>
    <t>1.80.60.30</t>
  </si>
  <si>
    <t>Outros Activos Fixos Tangíveis</t>
  </si>
  <si>
    <t>1.80.60.40</t>
  </si>
  <si>
    <t>Activos Fixos Tangíveis em Curso</t>
  </si>
  <si>
    <t>1.80.60.50</t>
  </si>
  <si>
    <t>(-) Depreciações Acumuladas</t>
  </si>
  <si>
    <t>1.80.70</t>
  </si>
  <si>
    <t>ACTIVOS INTANGÍVEIS DAS SOCIEDADES</t>
  </si>
  <si>
    <t>1.80.70.10</t>
  </si>
  <si>
    <t>Software</t>
  </si>
  <si>
    <t>1.80.70.20</t>
  </si>
  <si>
    <t>Outros Activos Intangíveis</t>
  </si>
  <si>
    <t>1.80.70.30</t>
  </si>
  <si>
    <t>Activos Intangíveis em Curso</t>
  </si>
  <si>
    <t>1.80.70.40</t>
  </si>
  <si>
    <t>(-) Amortizações acumuladas</t>
  </si>
  <si>
    <t>CAPTAÇÕES FINANCEIRAS DE LIQUIDEZ</t>
  </si>
  <si>
    <t>OPERAÇÕES DE VENDA DE TÍTULOS PRÓPRIOS COM ACORDO DE RECOMPRA</t>
  </si>
  <si>
    <t>2.20.10.10</t>
  </si>
  <si>
    <t>Títulos de Dívida pública</t>
  </si>
  <si>
    <t>2.20.10.20</t>
  </si>
  <si>
    <t>Títulos de Dívida corporativa</t>
  </si>
  <si>
    <t>2.20.10.30</t>
  </si>
  <si>
    <t>2.20.10.40</t>
  </si>
  <si>
    <t>OPERAÇÕES DE VENDA DE TÍTULOS DE TERCEIROS COM ACORDO DE RECOMPRA</t>
  </si>
  <si>
    <t>2.20.20.10</t>
  </si>
  <si>
    <t>2.20.30.20</t>
  </si>
  <si>
    <t>2.20.30.30</t>
  </si>
  <si>
    <t>2.20.30.40</t>
  </si>
  <si>
    <t>RECOMPRAS A LIQUIDAR - CÂMARAS DE LIQUIDAÇÃO E COMPENSAÇÃO</t>
  </si>
  <si>
    <t>2.20.30</t>
  </si>
  <si>
    <t>Recompras a Liquidar - Câmaras de Liquidação e Compensação</t>
  </si>
  <si>
    <t>OPERAÇÕES DE SWAP</t>
  </si>
  <si>
    <t>2.50.10.10</t>
  </si>
  <si>
    <t>Diferencial a Pagar</t>
  </si>
  <si>
    <t>OBRIGAÇÕES POR COMPRAS A TERMO A PAGAR</t>
  </si>
  <si>
    <t>2.50.20.10</t>
  </si>
  <si>
    <t>2.50.20.20</t>
  </si>
  <si>
    <t>OBRIGAÇÕES POR VENDA A TERMO A ENTREGAR</t>
  </si>
  <si>
    <t>2.50.30.10</t>
  </si>
  <si>
    <t>2.50.30.20</t>
  </si>
  <si>
    <t>CONTRATOS DE FUTUROS</t>
  </si>
  <si>
    <t>2.50.40.10</t>
  </si>
  <si>
    <t>PRÉMIOS DE OPÇÕES LANÇADAS</t>
  </si>
  <si>
    <t>2.50.50.10</t>
  </si>
  <si>
    <t>Vendas de Opções de Compra</t>
  </si>
  <si>
    <t>2.50.50.20</t>
  </si>
  <si>
    <t>Vendas de Opções de Venda</t>
  </si>
  <si>
    <t>2.50.60</t>
  </si>
  <si>
    <t>Outros Instrumentos Financeiros Derivados</t>
  </si>
  <si>
    <t>OUTRAS OBRIGAÇÕES</t>
  </si>
  <si>
    <t>OBRIGAÇÕES DE NATUREZA SOCIAL OU ESTATUTÁRIA</t>
  </si>
  <si>
    <t>2.60.10.10</t>
  </si>
  <si>
    <t>Dividendos a Pagar</t>
  </si>
  <si>
    <t>2.60.10.20</t>
  </si>
  <si>
    <t>Juros sobre Capital Próprio a Pagar</t>
  </si>
  <si>
    <t>OUTRAS OBRIGAÇÕES DE NATUREZA FISCAL (Impostos e Contribuições a Recolher)</t>
  </si>
  <si>
    <t>2.60.20.10.10</t>
  </si>
  <si>
    <t>Impostos e Contribuições sobre Serviços de Terceiros</t>
  </si>
  <si>
    <t>2.60.20.10.20</t>
  </si>
  <si>
    <t>Impostos de Renda</t>
  </si>
  <si>
    <t>OUTRAS OBRIGAÇÕES DE NATUREZA FISCAL (Impostos a pagar)</t>
  </si>
  <si>
    <t>2.60.20.20.10</t>
  </si>
  <si>
    <t>Impostos e Taxas</t>
  </si>
  <si>
    <t>2.60.20.20.20</t>
  </si>
  <si>
    <t>Negociação e Intermediação de Valores</t>
  </si>
  <si>
    <t>OUTRAS OBRIGAÇÕES DE NATUREZA FISCAL (IVA Liquidado)</t>
  </si>
  <si>
    <t>2.60.20.30.10.10</t>
  </si>
  <si>
    <t>Operações Gerais</t>
  </si>
  <si>
    <t>2.60.20.30.10.20</t>
  </si>
  <si>
    <t>Operações Abrangidas pelo Regime de IVA de Caixa</t>
  </si>
  <si>
    <t>2.60.20.30.10.30</t>
  </si>
  <si>
    <t>Autoconsumos e Operações Gratuitas</t>
  </si>
  <si>
    <t>2.60.20.30.10.40</t>
  </si>
  <si>
    <t xml:space="preserve">Operações Especiais </t>
  </si>
  <si>
    <t>OUTRAS OBRIGAÇÕES DE NATUREZA FISCAL (IVA Regulações)</t>
  </si>
  <si>
    <t>2.60.20.30.20.10</t>
  </si>
  <si>
    <t>Mensai a Favor do Estado</t>
  </si>
  <si>
    <t>2.60.20.30.20.20</t>
  </si>
  <si>
    <t>2.60.20.30.20.30</t>
  </si>
  <si>
    <t>Outras Regularizações Anuais</t>
  </si>
  <si>
    <t>OUTRAS OBRIGAÇÕES DE NATUREZA FISCAL (IVA Apuramento)</t>
  </si>
  <si>
    <t>2.60.20.30.30.10</t>
  </si>
  <si>
    <t>IVA Apuramento Regime Geral</t>
  </si>
  <si>
    <t>2.60.20.30.30.20</t>
  </si>
  <si>
    <t>IVA Apuramento Regime de Caixa</t>
  </si>
  <si>
    <t>OUTRAS OBRIGAÇÕES DE NATUREZA FISCAL (IVA a pagar)</t>
  </si>
  <si>
    <t>2.60.20.30.40.10</t>
  </si>
  <si>
    <t>IVA a Pagar de Apuramento</t>
  </si>
  <si>
    <t>2.60.20.30.40.20</t>
  </si>
  <si>
    <t xml:space="preserve">IVA a Pagar de Cativo </t>
  </si>
  <si>
    <t>2.60.20.30.40.30</t>
  </si>
  <si>
    <t>IVA a Pagar de Liquidações Oficiosas</t>
  </si>
  <si>
    <t>EMPRÉSTIMOS OBTIDOS</t>
  </si>
  <si>
    <t>2.60.30.10</t>
  </si>
  <si>
    <t>Empréstimos Titulados</t>
  </si>
  <si>
    <t>2.60.30.20</t>
  </si>
  <si>
    <t>Empréstimos Bancários</t>
  </si>
  <si>
    <t>2.60.30.30</t>
  </si>
  <si>
    <t>Descobertos Bancários</t>
  </si>
  <si>
    <t>2.60.30.40</t>
  </si>
  <si>
    <t>Locações Financeiras</t>
  </si>
  <si>
    <t>2.60.30.50</t>
  </si>
  <si>
    <t>DETENTORES DE UNIDADES DE TITULARIZAÇÕES DE CRÉDITOS</t>
  </si>
  <si>
    <t>2.60.40.10</t>
  </si>
  <si>
    <t>Valor nominal</t>
  </si>
  <si>
    <t>2.60.40.20</t>
  </si>
  <si>
    <t>Juros</t>
  </si>
  <si>
    <t>2.60.40.30</t>
  </si>
  <si>
    <t>Rendimentos</t>
  </si>
  <si>
    <t>2.60.40.40</t>
  </si>
  <si>
    <t>Outros Rendimentos</t>
  </si>
  <si>
    <t>ADIANTAMENTO PARA VENDA IMÓVEIS</t>
  </si>
  <si>
    <t>2.60.50.10</t>
  </si>
  <si>
    <t>Adiantamento para Venda de Terrenos</t>
  </si>
  <si>
    <t>2.60.50.20</t>
  </si>
  <si>
    <t>Adiantamento para Construções</t>
  </si>
  <si>
    <t>2.60.50.30</t>
  </si>
  <si>
    <t>2.60.60.10</t>
  </si>
  <si>
    <t>Subscrição de Capital a Integrar</t>
  </si>
  <si>
    <t>DIVERSOS (Valores a Pagar a Sociedades)</t>
  </si>
  <si>
    <t>2.60.60.20.10</t>
  </si>
  <si>
    <t>2.60.60.20.20</t>
  </si>
  <si>
    <t>2.60.60.20.30</t>
  </si>
  <si>
    <t>DIVERSOS (Valores a Pagar)</t>
  </si>
  <si>
    <t>2.60.60.30.10</t>
  </si>
  <si>
    <t>2.60.60.30.30</t>
  </si>
  <si>
    <t>2.60.60.30.40</t>
  </si>
  <si>
    <t>Autoridades de Supervisão</t>
  </si>
  <si>
    <t>2.60.60.30.50</t>
  </si>
  <si>
    <t>Outros valores</t>
  </si>
  <si>
    <t>2.60.60.40</t>
  </si>
  <si>
    <t>Valores a Pagar a subscritores</t>
  </si>
  <si>
    <t>2.60.60.50</t>
  </si>
  <si>
    <t>Credores Diversos</t>
  </si>
  <si>
    <t>2.60.60.60</t>
  </si>
  <si>
    <t>Credores Diversos Redébito</t>
  </si>
  <si>
    <t>PROVISÕES PARA RISCOS E ENCARGOS</t>
  </si>
  <si>
    <t>2.60.70</t>
  </si>
  <si>
    <t>Provisões para Outros Riscos e Encargos</t>
  </si>
  <si>
    <t>FUNDO DE GARANTIA</t>
  </si>
  <si>
    <t>2.60.80</t>
  </si>
  <si>
    <t>NEGOCIAÇÃO   E   INTERMEDIAÇÃO DE VALORES</t>
  </si>
  <si>
    <t>UNIDADES DE PARTICIPAÇÃO A RESGATAR</t>
  </si>
  <si>
    <t>2.70.10</t>
  </si>
  <si>
    <t>Unidades de Participação a Emitir</t>
  </si>
  <si>
    <t>UNIDADES DE PARTICIPAÇÃO A EMITIR</t>
  </si>
  <si>
    <t>2.70.20</t>
  </si>
  <si>
    <t>Unidades de Participação a Resgatar</t>
  </si>
  <si>
    <t>CREDORES</t>
  </si>
  <si>
    <t>2.70.30.10</t>
  </si>
  <si>
    <t>Resgates/Reembolsos   a   Pagar   aos Participantes</t>
  </si>
  <si>
    <t>2.70.30.20</t>
  </si>
  <si>
    <t>Rendimentos a Pagar aos Participantes</t>
  </si>
  <si>
    <t>CREDORES (Participantes do FCR)</t>
  </si>
  <si>
    <t>2.70.30.30.10</t>
  </si>
  <si>
    <t>Valor base</t>
  </si>
  <si>
    <t>2.70.30.30.20</t>
  </si>
  <si>
    <t>Rendimentos a pagar</t>
  </si>
  <si>
    <t>2.70.30.30.30</t>
  </si>
  <si>
    <t>Outros rendimentos</t>
  </si>
  <si>
    <t>ACCIONISTAS</t>
  </si>
  <si>
    <t>2.70.40.10</t>
  </si>
  <si>
    <t>Accionistas com subscrição</t>
  </si>
  <si>
    <t>2.70.40.20</t>
  </si>
  <si>
    <t>Adiantamentos por conta de lucros</t>
  </si>
  <si>
    <t>2.70.40.30</t>
  </si>
  <si>
    <t>Resultados atribuídos</t>
  </si>
  <si>
    <t>2.70.40.40</t>
  </si>
  <si>
    <t>Lucros disponíveis</t>
  </si>
  <si>
    <t>2.70.40.50</t>
  </si>
  <si>
    <t>Outras operações</t>
  </si>
  <si>
    <t>ACTIVO PARA NEGOCIAÇÃO</t>
  </si>
  <si>
    <t>3.10.10.10</t>
  </si>
  <si>
    <t>3.10.10.20</t>
  </si>
  <si>
    <t>3.10.10.30</t>
  </si>
  <si>
    <t>Unidades de participação</t>
  </si>
  <si>
    <t>3.10.10.40</t>
  </si>
  <si>
    <t>ACTIVOS MANTIDOS ATÉ O VENCIMENTO</t>
  </si>
  <si>
    <t>3.10.20.10</t>
  </si>
  <si>
    <t>3.10.20.20</t>
  </si>
  <si>
    <t>3.10.20.30</t>
  </si>
  <si>
    <t>3.10.20.40</t>
  </si>
  <si>
    <t>CUSTÓDIA DE VALORES</t>
  </si>
  <si>
    <t>DEPOSITÁRIOS DE VALORES EM CUSTÓDIA</t>
  </si>
  <si>
    <t>3.20.10</t>
  </si>
  <si>
    <t>Depositários de Valores em Custódia</t>
  </si>
  <si>
    <t>CUSTÓDIA EM OURO</t>
  </si>
  <si>
    <t>3.20.20</t>
  </si>
  <si>
    <t>Custódia em Ouro</t>
  </si>
  <si>
    <r>
      <rPr>
        <b/>
        <sz val="11"/>
        <rFont val="Malgun Gothic"/>
        <family val="2"/>
      </rPr>
      <t>NEGOCIAÇÃO E INTERMEDIAÇÃO DE VALORES</t>
    </r>
  </si>
  <si>
    <t>CONTRATO DE ACÇÕES, ACTIVOS FINANCEIROS E MERCADORIAS</t>
  </si>
  <si>
    <t>3.30.10.10</t>
  </si>
  <si>
    <t>Contratos a Termo a Receber</t>
  </si>
  <si>
    <t>3.30.10.20</t>
  </si>
  <si>
    <t>Contratos a Termo a Entregar</t>
  </si>
  <si>
    <t>3.30.10.30</t>
  </si>
  <si>
    <t>Contratos de Mercado Futuro Comprados</t>
  </si>
  <si>
    <t>3.30.10.40</t>
  </si>
  <si>
    <t>Contratos de Mercado Futuro Vendidos</t>
  </si>
  <si>
    <t>3.30.10.50</t>
  </si>
  <si>
    <t>Direito de Contratos de Opções sobre Acções, Activos Financeiros e Mercadorias</t>
  </si>
  <si>
    <t>3.30.10.60</t>
  </si>
  <si>
    <t>Contratos de Obrigação de Opções sobre Acções, Activos Financeiros e Mercadorias</t>
  </si>
  <si>
    <t>3.30.10.70</t>
  </si>
  <si>
    <t>Swap</t>
  </si>
  <si>
    <t>3.30.10.80</t>
  </si>
  <si>
    <t>Swap com Garantia</t>
  </si>
  <si>
    <t>3.30.10.90</t>
  </si>
  <si>
    <t>Outros Contratos</t>
  </si>
  <si>
    <t>FIANÇAS E OUTRAS GARANTIAS POR OPERAÇÕES EM BOLSAS</t>
  </si>
  <si>
    <t>OPERAÇÕES COM ACÇÕES</t>
  </si>
  <si>
    <t>3.40.10</t>
  </si>
  <si>
    <t>OPERAÇÕES COM ACTIVOS FINANCEIROS E MERCADORIAS</t>
  </si>
  <si>
    <t>3.40.20</t>
  </si>
  <si>
    <t>TÍTULOS RECEBIDOS COMO GARANTIA EM OPERAÇÕES COMPROMETIDAS COM ACORDO DE LIVRE MOVIMENTAÇÃO</t>
  </si>
  <si>
    <t>TÍTULO DA DÍVIDA PÚBLICA</t>
  </si>
  <si>
    <t>3.45.10</t>
  </si>
  <si>
    <t>TÍTULOS DO BANCO CENTRAL</t>
  </si>
  <si>
    <t>3.45.20</t>
  </si>
  <si>
    <t>OUTROS TÍTULOS</t>
  </si>
  <si>
    <t>3.45.30</t>
  </si>
  <si>
    <r>
      <rPr>
        <b/>
        <sz val="11"/>
        <rFont val="Malgun Gothic"/>
        <family val="2"/>
      </rPr>
      <t>VALORES EM GARANTIA DE OPERAÇÕES</t>
    </r>
  </si>
  <si>
    <t>BOLSA - DEPÓSITOS EM GARANTIA</t>
  </si>
  <si>
    <t>3.50.10.10</t>
  </si>
  <si>
    <t>TÍTULOS EM VM CLASSIFICADOS EM CATEGORIAS</t>
  </si>
  <si>
    <t>4.10.10</t>
  </si>
  <si>
    <t>Títulos e Valores Mobiliários Classificados em Categorias</t>
  </si>
  <si>
    <t>VALORES CUSTODIADOS</t>
  </si>
  <si>
    <t>4.20.10</t>
  </si>
  <si>
    <t>Valores Custodiados</t>
  </si>
  <si>
    <t>OURO EM CUSTÓDIA</t>
  </si>
  <si>
    <t>4.20.20</t>
  </si>
  <si>
    <t>Ouro em Custódia</t>
  </si>
  <si>
    <t>CONTRATO DE ACÇÕES, ACT. FIN. E MERCAD. CONTRATADOS</t>
  </si>
  <si>
    <t>4.30.10.10</t>
  </si>
  <si>
    <t>Contratos de Mercado a Termo</t>
  </si>
  <si>
    <t>4.30.10.20</t>
  </si>
  <si>
    <t>Contratos de Mercado Futuro</t>
  </si>
  <si>
    <t>4.30.10.30</t>
  </si>
  <si>
    <t>Contratos Mercado de Opções</t>
  </si>
  <si>
    <t>4.30.10.40</t>
  </si>
  <si>
    <t>Swaps</t>
  </si>
  <si>
    <t>4.30.10.50</t>
  </si>
  <si>
    <t>RESPONS. POR FIANÇAS E OUT. GARANT. POR OPER. EM BOLSA</t>
  </si>
  <si>
    <t>4.40</t>
  </si>
  <si>
    <t>RESPONSABILIDADES POR FIANÇAS E OUTRAS GARANTIAS POR OPERAÇÕES EM BOLSAS</t>
  </si>
  <si>
    <t>OPERAÇÕES COMP. COM ACORDO DE LIVRE MOV. - TÍT. RECEB. EM GARANTIA</t>
  </si>
  <si>
    <t>4.45</t>
  </si>
  <si>
    <t>OPERAÇÕES COMPROMETIDAS COM ACORDO DE LIVRE MOVIMENTAÇÃO – TÍTULOS RECEBIDOS COMO GARANTIA</t>
  </si>
  <si>
    <t>RESPONS. POR VALORES EM GARANTIA DE OPERAÇÕES</t>
  </si>
  <si>
    <t>4.50</t>
  </si>
  <si>
    <t>RESPONSABILIDADES POR VALORES EM GARANTIA DE OPERAÇÕES</t>
  </si>
  <si>
    <t>MOV. DE UNID DE PART. -  CONTROLO</t>
  </si>
  <si>
    <t>MOV. DE UN. DE PARTICIPAÇÃO</t>
  </si>
  <si>
    <t>4.60.10.10</t>
  </si>
  <si>
    <t>Emissões</t>
  </si>
  <si>
    <t>4.60.10.20</t>
  </si>
  <si>
    <t>Resgates</t>
  </si>
  <si>
    <t>4.60.10.30</t>
  </si>
  <si>
    <t>Circulação</t>
  </si>
  <si>
    <t>OUT. CONTAS DE COMP. PASSIVAS</t>
  </si>
  <si>
    <t>4.70</t>
  </si>
  <si>
    <t>OUTRAS CONTAS DE COMPENSAÇÃO PASSIVAS</t>
  </si>
  <si>
    <t>PATRIMÓNIO LÍQUIDO</t>
  </si>
  <si>
    <t>CAPITAL</t>
  </si>
  <si>
    <t>5.10.10.10</t>
  </si>
  <si>
    <t>Capital Social</t>
  </si>
  <si>
    <t>5.10.10.20</t>
  </si>
  <si>
    <t>Aumentos de Capital</t>
  </si>
  <si>
    <t>5.10.10.30</t>
  </si>
  <si>
    <t>(-) Reduções de Capital</t>
  </si>
  <si>
    <t>5.10.10.40</t>
  </si>
  <si>
    <t>(-) Capital a Realizar</t>
  </si>
  <si>
    <t>LUCROS OU PREJUÍZOS ACUMULADOS</t>
  </si>
  <si>
    <t>5.10.20</t>
  </si>
  <si>
    <t>Lucros ou Prejuízos Acumulados</t>
  </si>
  <si>
    <t>UNIDADE DE TITULARIZAÇÃO</t>
  </si>
  <si>
    <t>5.10.30.10</t>
  </si>
  <si>
    <t>Valor Nominal</t>
  </si>
  <si>
    <t>5.10.30.20</t>
  </si>
  <si>
    <t>(-) Amortização de unidades de titularização</t>
  </si>
  <si>
    <t>UNIDADE DE TITULARIZAÇÃOVariações Face ao Valor Nominal</t>
  </si>
  <si>
    <t>5.10.30.30.10</t>
  </si>
  <si>
    <t>Prémio de Emissão</t>
  </si>
  <si>
    <t>5.10.30.30.20</t>
  </si>
  <si>
    <t>Desconto de Emissão</t>
  </si>
  <si>
    <t>5.10.30.40</t>
  </si>
  <si>
    <t>Sobrecolaterização</t>
  </si>
  <si>
    <t>UNIDADE DE PARTICIPAÇÃO</t>
  </si>
  <si>
    <t>5.10.40</t>
  </si>
  <si>
    <t>RESERVAS</t>
  </si>
  <si>
    <t>5.10.50</t>
  </si>
  <si>
    <t>Reservas</t>
  </si>
  <si>
    <t>RESULTADOS DISTRIBUÍDOS</t>
  </si>
  <si>
    <t>5.10.60</t>
  </si>
  <si>
    <t>Resultados Distribuídos</t>
  </si>
  <si>
    <t>DIVIDENDOS ANTECIPADOS DAS SOCIEDADES DE INVESTIMENTO</t>
  </si>
  <si>
    <t>5.10.70</t>
  </si>
  <si>
    <t>Dividendos Antecipados das Sociedades de Investimento</t>
  </si>
  <si>
    <t>RESULTADO LÍQUIDO DO EXERCÍCIO</t>
  </si>
  <si>
    <t>5.10.80</t>
  </si>
  <si>
    <t>Resultado Líquido do Exercício</t>
  </si>
  <si>
    <t>PROVEITOS</t>
  </si>
  <si>
    <t>JUROS E OUT. RENDIMENTOS</t>
  </si>
  <si>
    <t>6.10.10.10</t>
  </si>
  <si>
    <t>Disponibilidades</t>
  </si>
  <si>
    <t>6.10.10.20</t>
  </si>
  <si>
    <t>6.10.10.22</t>
  </si>
  <si>
    <t>6.10.10.23</t>
  </si>
  <si>
    <t>Outros MM</t>
  </si>
  <si>
    <t>JUROS E OUT. RENDIMENTOS (Carteira de Títulos)</t>
  </si>
  <si>
    <t>6.10.10.30.10</t>
  </si>
  <si>
    <t>6.10.10.30.20</t>
  </si>
  <si>
    <t>Títulos da Dívida Corporativa</t>
  </si>
  <si>
    <t>6.10.10.30.30</t>
  </si>
  <si>
    <t>6.10.10.30.40</t>
  </si>
  <si>
    <t>Unidades de Participação em Fundos de Investimento</t>
  </si>
  <si>
    <t>6.10.10.30.50</t>
  </si>
  <si>
    <t>Participações Societárias</t>
  </si>
  <si>
    <t>6.10.10.30.60</t>
  </si>
  <si>
    <t>OICs de Titularização de Créditos</t>
  </si>
  <si>
    <t>6.10.10.30.70</t>
  </si>
  <si>
    <t>OICs de Capital de Risco</t>
  </si>
  <si>
    <t>6.10.10.30.80</t>
  </si>
  <si>
    <t>Instrumentos Financeiros Derivados</t>
  </si>
  <si>
    <t>6.10.10.30.90</t>
  </si>
  <si>
    <t>Outros Títulos e Valores Mobiliários</t>
  </si>
  <si>
    <t>JUROS E OUT. RENDIMENTOS (Carteira de Créditos)</t>
  </si>
  <si>
    <t>6.10.10.40.10</t>
  </si>
  <si>
    <t>6.10.10.40.20</t>
  </si>
  <si>
    <t>Crédito ao Consumo</t>
  </si>
  <si>
    <t>6.10.10.40.30</t>
  </si>
  <si>
    <t>Crédito sobre o Estado e outras Pessoas Colectivas Públicas</t>
  </si>
  <si>
    <t>6.10.10.40.40</t>
  </si>
  <si>
    <t>Créditos de Fundos de Pensões</t>
  </si>
  <si>
    <t>6.10.10.40.50</t>
  </si>
  <si>
    <t>Créditos de Futuros</t>
  </si>
  <si>
    <t>6.10.10.40.60</t>
  </si>
  <si>
    <t>JUROS E OUT. RENDIMENTOS (Outros Activos em Carteira)</t>
  </si>
  <si>
    <t>6.10.10.50.10</t>
  </si>
  <si>
    <t>JUROS E OUT. RENDIMENTOS (Activos Imobiliários)</t>
  </si>
  <si>
    <t>6.10.10.50.20.10</t>
  </si>
  <si>
    <t>Participações em Activos de Investimento Imobiliário</t>
  </si>
  <si>
    <t>6.10.10.50.20.20</t>
  </si>
  <si>
    <t>Participações Sociais</t>
  </si>
  <si>
    <t>6.10.10.50.30</t>
  </si>
  <si>
    <t>6.10.10.60</t>
  </si>
  <si>
    <t>Contas de Terceiros</t>
  </si>
  <si>
    <t>JUROS E OUT. RENDIMENTOS (Comissões)</t>
  </si>
  <si>
    <t>6.10.10.70.10</t>
  </si>
  <si>
    <t>Comissão de Subscrição</t>
  </si>
  <si>
    <t>6.10.10.70.20</t>
  </si>
  <si>
    <t>Comissão de Resgate</t>
  </si>
  <si>
    <t>6.10.10.70.30</t>
  </si>
  <si>
    <t>Outras Comissões</t>
  </si>
  <si>
    <t>6.10.10.80</t>
  </si>
  <si>
    <t>Outros Juros e Proveitos Equiparados</t>
  </si>
  <si>
    <t>REND. OPER. CRÉDITO</t>
  </si>
  <si>
    <t>6.10.20.10</t>
  </si>
  <si>
    <t>Rendas de Direitos por Empréstimo de Títulos e Valores Mobiliários</t>
  </si>
  <si>
    <t>REND. DE CÂMBIO</t>
  </si>
  <si>
    <t>6.10.30.10</t>
  </si>
  <si>
    <t>Rendimentos de Disponibilidades em Moedas Estrangeiras</t>
  </si>
  <si>
    <t>6.10.30.20</t>
  </si>
  <si>
    <t>Rendimentos de Outros Activos em Moedas Estrangeiras</t>
  </si>
  <si>
    <t>REND. DE APL. EM OP. COMPROMETIDAS</t>
  </si>
  <si>
    <t>6.10.40.10</t>
  </si>
  <si>
    <t>Operações de Compra de Títulos de Terceiros com Acordo de Revenda</t>
  </si>
  <si>
    <t>6.10.40.20</t>
  </si>
  <si>
    <t>Operações de Venda de Títulos de Terceiros com Acordo de Revenda</t>
  </si>
  <si>
    <t>PROV. NA AQUIS. DOS CRÉD. E EMISSÃO NAS UTC</t>
  </si>
  <si>
    <t>6.10.50.10</t>
  </si>
  <si>
    <t>Prémio na Emissão das UTC</t>
  </si>
  <si>
    <t>6.10.50.20</t>
  </si>
  <si>
    <t>Desconto na Aquisição de Créditos</t>
  </si>
  <si>
    <t>AJUSTE POSITIVO DO MERCADO</t>
  </si>
  <si>
    <t>6.10.60.10</t>
  </si>
  <si>
    <t>Títulos para Negociação</t>
  </si>
  <si>
    <t>6.10.60.20</t>
  </si>
  <si>
    <t>Reclassificação de Títulos Mantidos até Vencimento para Negociação</t>
  </si>
  <si>
    <t>REND. ACT. IMOBILIÁRIOS (Rendas)</t>
  </si>
  <si>
    <t>6.10.70.10.10</t>
  </si>
  <si>
    <t>6.10.70.10.20</t>
  </si>
  <si>
    <t>Construções</t>
  </si>
  <si>
    <t>6.10.70.10.30</t>
  </si>
  <si>
    <t>Direitos</t>
  </si>
  <si>
    <t>6.10.70.10.40</t>
  </si>
  <si>
    <t>REND. ACT. IMOBILIÁRIOS</t>
  </si>
  <si>
    <t>6.10.70.20</t>
  </si>
  <si>
    <t>Outros Rendimentos de Activos Imobiliários</t>
  </si>
  <si>
    <t>REND. ACT. IMOBILIÁRIOS (Reversões)</t>
  </si>
  <si>
    <t>6.10.70.90.10</t>
  </si>
  <si>
    <t>De Depreciações e Amortizações</t>
  </si>
  <si>
    <t>6.10.70.90.20</t>
  </si>
  <si>
    <t>Perdas por Imparidade</t>
  </si>
  <si>
    <t>OUT. REND. OPERACIONAIS</t>
  </si>
  <si>
    <t>6.10.80.10</t>
  </si>
  <si>
    <t>Prestação de Serviços</t>
  </si>
  <si>
    <t>6.10.80.30</t>
  </si>
  <si>
    <t>Outros Proveitos e Ganhos</t>
  </si>
  <si>
    <t>REPOSIÇÃO E ANULAÇÃO DE PROVISÕES</t>
  </si>
  <si>
    <t>6.10.90.10</t>
  </si>
  <si>
    <t>Provisão para Riscos Gerais de Crédito</t>
  </si>
  <si>
    <t>6.10.90.20</t>
  </si>
  <si>
    <t>Provisão para Juros Vencidos</t>
  </si>
  <si>
    <t>6.10.90.30</t>
  </si>
  <si>
    <t>Provisão para Crédito Vencido</t>
  </si>
  <si>
    <t>6.10.90.40</t>
  </si>
  <si>
    <t xml:space="preserve">Provisão para Crédito de Cobrança Duvidosa </t>
  </si>
  <si>
    <t>6.10.90.50</t>
  </si>
  <si>
    <t>De Provisões para Encargos</t>
  </si>
  <si>
    <t>6.10.90.60</t>
  </si>
  <si>
    <t>Outras provisões</t>
  </si>
  <si>
    <t>DESPESAS</t>
  </si>
  <si>
    <t>JUROS E OUT. DESPESAS</t>
  </si>
  <si>
    <t>6.20.10.10</t>
  </si>
  <si>
    <t>6.20.10.20</t>
  </si>
  <si>
    <t>JUROS E OUT. DESPESAS (Carteira de Títulos)</t>
  </si>
  <si>
    <t>6.20.10.30.10</t>
  </si>
  <si>
    <t>6.20.10.30.20</t>
  </si>
  <si>
    <t>6.20.10.30.30</t>
  </si>
  <si>
    <t>6.20.10.30.40</t>
  </si>
  <si>
    <t>6.20.10.30.50</t>
  </si>
  <si>
    <t>6.20.10.30.60</t>
  </si>
  <si>
    <t>6.20.10.30.70</t>
  </si>
  <si>
    <t>6.20.10.30.80</t>
  </si>
  <si>
    <t>6.20.10.30.90</t>
  </si>
  <si>
    <t>JUROS E OUT. DESPESAS (Carteira de Créditos)</t>
  </si>
  <si>
    <t>6.20.10.40.10</t>
  </si>
  <si>
    <t>6.20.10.40.20</t>
  </si>
  <si>
    <t>6.20.10.40.30</t>
  </si>
  <si>
    <t>6.20.10.40.40</t>
  </si>
  <si>
    <t>6.20.10.40.50</t>
  </si>
  <si>
    <t>6.20.10.40.60</t>
  </si>
  <si>
    <t>JUROS E OUT. DESPESAS (Outros Activos de Carteira)</t>
  </si>
  <si>
    <t>6.20.10.50.10</t>
  </si>
  <si>
    <t>JUROS E OUT. DESPESAS (Activos Imobiliários)</t>
  </si>
  <si>
    <t>6.20.10.50.20.10</t>
  </si>
  <si>
    <t>6.20.10.50.20.20</t>
  </si>
  <si>
    <t>6.20.10.50.30</t>
  </si>
  <si>
    <t>JUROS E OUT. DESPESAS (Operações  de  Reporte  de  Valores  e Empréstimos de Valores)</t>
  </si>
  <si>
    <t>6.20.10.60.10</t>
  </si>
  <si>
    <t>Operações  de  Compra  de  Títulos  de Terceiros com Acordo de Revenda</t>
  </si>
  <si>
    <t>6.20.10.60.20</t>
  </si>
  <si>
    <t>Operações   de   Venda   de   Títulos   de Terceiros com Acordo de Revenda</t>
  </si>
  <si>
    <t>DESP. POR OBRIG. POR EMP. E REPASSES</t>
  </si>
  <si>
    <t>6.20.20.10</t>
  </si>
  <si>
    <t>Despesas de Empréstimos de Títulos e Valores Mobiliários</t>
  </si>
  <si>
    <t>RENDIMENTO DE CÂMBIO</t>
  </si>
  <si>
    <t>6.20.30.10</t>
  </si>
  <si>
    <t>Rendimentos   de  Disponibilidades   em Moedas Estrangeiras</t>
  </si>
  <si>
    <t>6.20.30.20</t>
  </si>
  <si>
    <t>Rendimentos   de   Outros   Activos   em Moedas Estrangeiras</t>
  </si>
  <si>
    <t>AJUSTE NEGATIVO AO DE MERCADO</t>
  </si>
  <si>
    <t>6.20.40.10</t>
  </si>
  <si>
    <t>6.20.40.20</t>
  </si>
  <si>
    <t>Reclassificação de Títulos Mantidos até o Vencimento para Negociação</t>
  </si>
  <si>
    <t>IMPOSTOS (Pagos em Angola)</t>
  </si>
  <si>
    <t>6.20.50.10.10</t>
  </si>
  <si>
    <t>Imposto sobre o Rendimento de Capitais e Incrementos Patrimoniais</t>
  </si>
  <si>
    <t>6.20.50.10.20</t>
  </si>
  <si>
    <t>Impostos Indirectos</t>
  </si>
  <si>
    <t>6.20.50.10.30</t>
  </si>
  <si>
    <t>Outros Impostos</t>
  </si>
  <si>
    <t>IMPOSTOS (Pagos no Estrangeiro)</t>
  </si>
  <si>
    <t>6.20.50.20.10</t>
  </si>
  <si>
    <t>6.20.50.20.20</t>
  </si>
  <si>
    <t>6.20.50.20.30</t>
  </si>
  <si>
    <t>6.20.50.30</t>
  </si>
  <si>
    <t>IVA</t>
  </si>
  <si>
    <t>COMISSÕES</t>
  </si>
  <si>
    <t>6.20.60.10</t>
  </si>
  <si>
    <t>6.20.60.20</t>
  </si>
  <si>
    <t>Comissão de Desempenho</t>
  </si>
  <si>
    <t>6.20.60.30</t>
  </si>
  <si>
    <t>6.20.60.40</t>
  </si>
  <si>
    <t>6.20.60.50</t>
  </si>
  <si>
    <t>MULTAS</t>
  </si>
  <si>
    <t>6.20.70</t>
  </si>
  <si>
    <t>Multas</t>
  </si>
  <si>
    <t>CUSTOS E PERDAS OPERACIONAIS (Prestação de Serviços)</t>
  </si>
  <si>
    <t>6.20.80.10.10</t>
  </si>
  <si>
    <t>Despesas de Comunicação</t>
  </si>
  <si>
    <t>6.20.80.10.20</t>
  </si>
  <si>
    <t>Despesas de Publicação</t>
  </si>
  <si>
    <t>6.20.80.10.30</t>
  </si>
  <si>
    <t>Despesas de Serviços do Sistema Financeiro</t>
  </si>
  <si>
    <t>6.20.80.10.40</t>
  </si>
  <si>
    <t>Despesas de Serviços Técnicos Especializados</t>
  </si>
  <si>
    <t>6.20.80.10.50</t>
  </si>
  <si>
    <t>Despesa de Constituição</t>
  </si>
  <si>
    <t>6.20.80.10.60</t>
  </si>
  <si>
    <t>Outras Despesas</t>
  </si>
  <si>
    <t>CUSTOS E PERDAS OPERACIONAIS</t>
  </si>
  <si>
    <t>6.20.80.20</t>
  </si>
  <si>
    <t>Custos com Pessoal</t>
  </si>
  <si>
    <t>6.20.80.30</t>
  </si>
  <si>
    <t>Amortizações e Depreciações</t>
  </si>
  <si>
    <t>6.20.80.40</t>
  </si>
  <si>
    <t>CUSTOS E PERDAS OPERACIONAIS (Custos com Fundo de Garantia)</t>
  </si>
  <si>
    <t>6.20.80.50.10</t>
  </si>
  <si>
    <t>Contribuição para o Fundo de Garantia</t>
  </si>
  <si>
    <t>6.20.80.50.20</t>
  </si>
  <si>
    <t>Sanções aplicadas pelo incumprimento das exigências do Fundo de Garantia</t>
  </si>
  <si>
    <t xml:space="preserve">OUTROS CUSTOS E PERDAS </t>
  </si>
  <si>
    <t>6.20.90</t>
  </si>
  <si>
    <t>Outros Custos e Perdas</t>
  </si>
  <si>
    <t>PROVISÕES DO EXERCÍCIO</t>
  </si>
  <si>
    <t>6.20.100.10</t>
  </si>
  <si>
    <t>6.20.100.20</t>
  </si>
  <si>
    <t>6.20.100.30</t>
  </si>
  <si>
    <t>6.20.100.40</t>
  </si>
  <si>
    <t>Provisão   para   Crédito   de   Cobrança Duvidosa</t>
  </si>
  <si>
    <t>6.20.100.50</t>
  </si>
  <si>
    <t>6.20.100.60</t>
  </si>
  <si>
    <t>Outras Provisões</t>
  </si>
  <si>
    <t>FC dos PROVEITOS</t>
  </si>
  <si>
    <t>FCJ e OUT REND.</t>
  </si>
  <si>
    <t>7.10.10.10</t>
  </si>
  <si>
    <t>Recebimentos de Proveitos de Disponibilidades</t>
  </si>
  <si>
    <t>7.10.10.20</t>
  </si>
  <si>
    <t>Recebimentos de Proveitos de Aplicações em Ouro</t>
  </si>
  <si>
    <t>FCJ e OUT REND. (Carteira de Títulos)</t>
  </si>
  <si>
    <t>7.10.10.30.10</t>
  </si>
  <si>
    <t>Recebimentos de Proveitos de Títulos da Dívida Pública</t>
  </si>
  <si>
    <t>7.10.10.30.20</t>
  </si>
  <si>
    <t>Recebimentos de Proveitos de Títulos da Dívida Corporativa</t>
  </si>
  <si>
    <t>7.10.10.30.30</t>
  </si>
  <si>
    <t>Recebimentos de Proveitos de Acções</t>
  </si>
  <si>
    <t>7.10.10.30.40</t>
  </si>
  <si>
    <t>Recebimentos de Proveitos de Unidades de Participação em Fundos de Investimento</t>
  </si>
  <si>
    <t>7.10.10.30.50</t>
  </si>
  <si>
    <t>Recebimentos de Proveitos de Participações Societárias</t>
  </si>
  <si>
    <t>7.10.10.30.60</t>
  </si>
  <si>
    <t>Recebimentos de Proveitos de OICs de Titularização de Créditos</t>
  </si>
  <si>
    <t>7.10.10.30.70</t>
  </si>
  <si>
    <t>Recebimentos de Proveitos de OICs de Capital de Risco</t>
  </si>
  <si>
    <t>7.10.10.30.80</t>
  </si>
  <si>
    <t>Recebimentos de Proveitos de Instrumentos Financeiros Derivados</t>
  </si>
  <si>
    <t>7.10.10.30.90</t>
  </si>
  <si>
    <t>Recebimentos de Proveitos de Outros Títulos e Valores Mobiliários</t>
  </si>
  <si>
    <t>FCJ e OUT REND. (Carteira de Créditos)</t>
  </si>
  <si>
    <t>7.10.10.40.10</t>
  </si>
  <si>
    <t>Recebimentos de Proveitos de Créditos Hipotecários</t>
  </si>
  <si>
    <t>7.10.10.40.20</t>
  </si>
  <si>
    <t>Recebimentos de Proveitos de Crédito ao Consumo</t>
  </si>
  <si>
    <t>7.10.10.40.30</t>
  </si>
  <si>
    <t>Recebimentos de Proveitos de Crédito sobre o Estado e outras Pessoas Colectivas Públicas</t>
  </si>
  <si>
    <t>7.10.10.40.40</t>
  </si>
  <si>
    <t>Recebimentos de Proveitos de Créditos de Fundos de Pensões</t>
  </si>
  <si>
    <t>7.10.10.40.50</t>
  </si>
  <si>
    <t>Recebimentos de Proveitos de Créditos de Futuros</t>
  </si>
  <si>
    <t>7.10.10.40.60</t>
  </si>
  <si>
    <t>Recebimentos de Proveitos de Outros Créditos</t>
  </si>
  <si>
    <t>FCJ e OUT REND. (Outros Activos em Carteira)</t>
  </si>
  <si>
    <t>7.10.10.50.10</t>
  </si>
  <si>
    <t>Recebimentos de Proveitos de Activos Não Financeiros</t>
  </si>
  <si>
    <t>FCJ e OUT REND. (Activos Imobiliários)</t>
  </si>
  <si>
    <t>7.10.10.50.20.10</t>
  </si>
  <si>
    <t>Recebimentos de Proveitos de Participações em Activos de Investimento Imobiliário</t>
  </si>
  <si>
    <t>7.10.10.50.20.20</t>
  </si>
  <si>
    <t>Recebimentos de Proveitos de Participações Sociais</t>
  </si>
  <si>
    <t>7.10.10.50.30</t>
  </si>
  <si>
    <t>Recebimentos de Proveitos de Outros Activos</t>
  </si>
  <si>
    <t>FCJ e OUT REND. (Conta Tercerros)</t>
  </si>
  <si>
    <t>7.10.10.60.10</t>
  </si>
  <si>
    <t>Recebimentos de Proveitos de Conta de Terceiros</t>
  </si>
  <si>
    <t>FCJ e OUT REND. (Comissões)</t>
  </si>
  <si>
    <t>7.10.10.70.10</t>
  </si>
  <si>
    <t>Recebimentos de Proveitos da Comissão de Subscrição</t>
  </si>
  <si>
    <t>7.10.10.70.20</t>
  </si>
  <si>
    <t>Recebimentos de Proveitos da Comissão de Resgate</t>
  </si>
  <si>
    <t>7.10.10.70.30</t>
  </si>
  <si>
    <t>Recebimentos de Proveitos de Outras Comissões</t>
  </si>
  <si>
    <t>7.10.10.80.10</t>
  </si>
  <si>
    <t>Recebimentos de Proveitos de Outros Juros e Proveitos Equiparados</t>
  </si>
  <si>
    <t>FC DE REND. DE OPER. CRÉDITO</t>
  </si>
  <si>
    <t>7.10.20.10</t>
  </si>
  <si>
    <t>Recebimentos de Proveitos de Rendas de Direitos por Empréstimo de Títulos e Valores Mobiliários</t>
  </si>
  <si>
    <t>FC DE REND. DE CÂMBIO</t>
  </si>
  <si>
    <t>7.10.30.10</t>
  </si>
  <si>
    <t>Recebimentos de Proveitos de Rendimentos de Disponibilidades em Moedas Estrangeiras</t>
  </si>
  <si>
    <t>7.10.30.20</t>
  </si>
  <si>
    <t>Recebimentos de Proveitos de Rendimentos de Outros Activos em Moedas Estrangeiras</t>
  </si>
  <si>
    <t>FC DE REND DE APL. EM OPER. COMPROMETIDAS</t>
  </si>
  <si>
    <t>7.10.40.10</t>
  </si>
  <si>
    <t>Recebimentos de Proveitos de Operações de Compra de Títulos de Terceiros com Acordo de Revenda</t>
  </si>
  <si>
    <t>7.10.40.20</t>
  </si>
  <si>
    <t>Recebimentos de Proveitos de Operações de Venda de Títulos de Terceiros com Acordo de Revenda</t>
  </si>
  <si>
    <t>FC DA AQUIS. DOS CRÉD E EMISSÃO DAS UTC</t>
  </si>
  <si>
    <t>7.10.50.10</t>
  </si>
  <si>
    <t>Recebimentos de Proveitos de Prémios na Emissão da UTC</t>
  </si>
  <si>
    <t>7.10.50.20</t>
  </si>
  <si>
    <t>Recebimentos de Proveitos de Descontos na Aquisição de Créditos</t>
  </si>
  <si>
    <t>FC no AJUSTE ao VALOR DE MERCADO</t>
  </si>
  <si>
    <t>7.10.60.10</t>
  </si>
  <si>
    <t>Recebimento de Proveitos de Títulos para Negociação</t>
  </si>
  <si>
    <t>7.10.60.20</t>
  </si>
  <si>
    <t>Recebimento de Proveitos da Reclassificação de Títulos Mantidos até Vencimento para Negociação</t>
  </si>
  <si>
    <t>FC de REND. de ACT. IMOB (Caixa de Rendas)</t>
  </si>
  <si>
    <t>7.10.70.10.10</t>
  </si>
  <si>
    <t>Recebimentos de Proveitos de Terrenos</t>
  </si>
  <si>
    <t>7.10.70.10.20</t>
  </si>
  <si>
    <t>Recebimentos de Proveitos de Construções</t>
  </si>
  <si>
    <t>7.10.70.10.30</t>
  </si>
  <si>
    <t>Recebimentos de Proveitos de Direitos</t>
  </si>
  <si>
    <t>7.10.70.10.40</t>
  </si>
  <si>
    <t>FC de REND. de ACT. IMOB</t>
  </si>
  <si>
    <t>7.10.70.20.10</t>
  </si>
  <si>
    <t>Recebimentos de Proveitos de Outros Rendimentos de Activos Imobiliários</t>
  </si>
  <si>
    <t>FC de REND. de ACT. IMOB (Caixa de Reversões)</t>
  </si>
  <si>
    <t>7.10.70.30.10</t>
  </si>
  <si>
    <t>Recebimentos de Proveitos de Reversões em Depreciações e Amortizações</t>
  </si>
  <si>
    <t>7.10.70.30.20</t>
  </si>
  <si>
    <t>Recebimentos de Proveitos de Reversões em Perdas por Imparidade</t>
  </si>
  <si>
    <t xml:space="preserve">FC OUT. REND. OPERACIONAIS </t>
  </si>
  <si>
    <t>7.10.80.10</t>
  </si>
  <si>
    <t>Recebimentos de Proveitos de Prestação de Serviços</t>
  </si>
  <si>
    <t>7.10.80.20</t>
  </si>
  <si>
    <t>Recebimentos de Proveitos de Outros proveitos e Ganhos</t>
  </si>
  <si>
    <t xml:space="preserve">FC DE DESPESAS </t>
  </si>
  <si>
    <t xml:space="preserve">FC DE JUROS E OUT. DESPESAS </t>
  </si>
  <si>
    <t>7.20.10.10</t>
  </si>
  <si>
    <t>Pagamentos de Custos de Disponibilidades</t>
  </si>
  <si>
    <t>7.20.10.20</t>
  </si>
  <si>
    <t>Pagamentos de Custos de Aplicações em Ouro</t>
  </si>
  <si>
    <t>FC DE JUROS E OUT. DESPESAS (Carteira de Títulos)</t>
  </si>
  <si>
    <t>7.20.10.30.10</t>
  </si>
  <si>
    <t>Pagamentos de Custos de Títulos da Dívida Pública</t>
  </si>
  <si>
    <t>7.20.10.30.20</t>
  </si>
  <si>
    <t>Pagamentos de Custos de Títulos da Dívida Corporativa</t>
  </si>
  <si>
    <t>7.20.10.30.30</t>
  </si>
  <si>
    <t>Pagamentos de Custos de Acções</t>
  </si>
  <si>
    <t>7.20.10.30.40</t>
  </si>
  <si>
    <t>Pagamentos de Custos de Unidades de Participação em Fundos de Investimento</t>
  </si>
  <si>
    <t>7.20.10.30.50</t>
  </si>
  <si>
    <t>Pagamentos de Custos de Participações Societárias</t>
  </si>
  <si>
    <t>7.20.10.30.60</t>
  </si>
  <si>
    <t>Pagamentos de Custos de OICs de Titularização de Créditos</t>
  </si>
  <si>
    <t>7.20.10.30.70</t>
  </si>
  <si>
    <t>Pagamentos de Custos de OICs de Capital de Risco</t>
  </si>
  <si>
    <t>7.20.10.30.80</t>
  </si>
  <si>
    <t>Pagamentos de Custos de Instrumentos Financeiros Derivados</t>
  </si>
  <si>
    <t>7.20.10.30.90</t>
  </si>
  <si>
    <t>Pagamentos de Custos de Outros Títulos e Valores Mobiliários</t>
  </si>
  <si>
    <t>FC DE JUROS E OUT. DESPESAS (Carteira de Créditos)</t>
  </si>
  <si>
    <t>7.20.10.40.10</t>
  </si>
  <si>
    <t>Pagamentos de Custos de Créditos Hipotecários</t>
  </si>
  <si>
    <t>7.20.10.40.20</t>
  </si>
  <si>
    <t>Pagamentos de Custos de Crédito ao Consumo</t>
  </si>
  <si>
    <t>7.20.10.40.30</t>
  </si>
  <si>
    <t>Pagamentos de Custos de Crédito sobre o Estado e outras Pessoas Colectivas Públicas</t>
  </si>
  <si>
    <t>7.20.10.40.40</t>
  </si>
  <si>
    <t>Pagamentos de Custos de Créditos de Fundos de Pensões</t>
  </si>
  <si>
    <t>7.20.10.40.50</t>
  </si>
  <si>
    <t>Pagamentos de Custos de Créditos de Futuros</t>
  </si>
  <si>
    <t>7.20.10.40.60</t>
  </si>
  <si>
    <t>Pagamentos de Custos de Outros Créditos</t>
  </si>
  <si>
    <t>FC DE JUROS E OUT. DESPESAS (Outros Activos)</t>
  </si>
  <si>
    <t>7.20.10.50.10</t>
  </si>
  <si>
    <t>Pagamentos de Custos de Activos Não Financeiros</t>
  </si>
  <si>
    <t>FC DE JUROS E OUT. DESPESAS (Activos Imobiliários)</t>
  </si>
  <si>
    <t>7.20.10.50.20.10</t>
  </si>
  <si>
    <t>Pagamentos de Custos de Participações em Activos de Investimento Imobiliário</t>
  </si>
  <si>
    <t>7.20.10.50.20.20</t>
  </si>
  <si>
    <t>Pagamentos de Custos de Participações Sociais</t>
  </si>
  <si>
    <t>7.20.10.50.30</t>
  </si>
  <si>
    <t>Pagamentos de Custos de Outros Activos</t>
  </si>
  <si>
    <t>FC DE JUROS E OUT. DESPESAS (REPO)</t>
  </si>
  <si>
    <t>7.20.10.60.10</t>
  </si>
  <si>
    <t>Pagamentos de Custos de Operações de Compra de Títulos de Terceiros com Acordo de Revenda</t>
  </si>
  <si>
    <t>7.20.10.60.20</t>
  </si>
  <si>
    <t>Pagamentos de Custos de Operações de Venda de Títulos de Terceiros com Acordo de Revenda</t>
  </si>
  <si>
    <t>FC de DESP. de OBR. por EMP e REPASSES</t>
  </si>
  <si>
    <t>7.20.20.10</t>
  </si>
  <si>
    <t>Pagamentos de Custos com Despesas de Empréstimos de Títulos e Valores Mobiliários</t>
  </si>
  <si>
    <t>FC de REBDIMENTOS de CÂMBIO</t>
  </si>
  <si>
    <t>7.20.30.10</t>
  </si>
  <si>
    <t>Pagamentos de Custos de Rendimentos de Disponibilidades em Moedas Estrangeiras</t>
  </si>
  <si>
    <t>7.20.30.20</t>
  </si>
  <si>
    <t>Pagamentos de Custos de Rendimentos de Outros Activos em Moedas Estrangeiras</t>
  </si>
  <si>
    <t>FC COM AJUSTE AO VALOR DE MERCADO</t>
  </si>
  <si>
    <t>7.20.40.10</t>
  </si>
  <si>
    <t>Pagamento de Custos de Títulos para Negociação</t>
  </si>
  <si>
    <t>7.20.40.20</t>
  </si>
  <si>
    <t>Pagamento de Custos de Reclassificação de Títulos Mantidos até o Vencimento para Negociação</t>
  </si>
  <si>
    <t>FC DE IMPOSTOS (Pagos em Angola)</t>
  </si>
  <si>
    <t>7.20.50.10.10</t>
  </si>
  <si>
    <t>Pagamentos de Custos de Imposto Sobre o Rendimento de Capitais e Incrementos Patrimoniais</t>
  </si>
  <si>
    <t>7.20.50.10.20</t>
  </si>
  <si>
    <t>Pagamentos de Custos de Impostos Indirectos</t>
  </si>
  <si>
    <t>7.20.50.10.30</t>
  </si>
  <si>
    <t>Pagamentos de Custos de Outros Impostos</t>
  </si>
  <si>
    <t>FC DE IMPOSTOS (Pagos no Estrangeiro)</t>
  </si>
  <si>
    <t>7.20.50.20.10</t>
  </si>
  <si>
    <t>Pagamentos de Custos de Imposto sobre o rendimento de capitais e incrementos patrimoniais</t>
  </si>
  <si>
    <t>7.20.50.20.20</t>
  </si>
  <si>
    <t>7.20.50.20.30</t>
  </si>
  <si>
    <t>FC de COMISSÕES</t>
  </si>
  <si>
    <t>7.20.60.10</t>
  </si>
  <si>
    <t>Pagamentos de Custos de Comissão de Gestão</t>
  </si>
  <si>
    <t>7.20.60.20</t>
  </si>
  <si>
    <t>Pagamentos de Custos de Comissão de Desempenho</t>
  </si>
  <si>
    <t>7.20.60.30</t>
  </si>
  <si>
    <t>Pagamentos de Custos de Comissão de Subscrição</t>
  </si>
  <si>
    <t>7.20.60.40</t>
  </si>
  <si>
    <t>Pagamentos de Custos de Comissão de Resgate</t>
  </si>
  <si>
    <t>7.20.60.50</t>
  </si>
  <si>
    <t>Pagamentos de Custos de Outras Comissões</t>
  </si>
  <si>
    <t>FC MULTAS</t>
  </si>
  <si>
    <t>7.20.70.10</t>
  </si>
  <si>
    <t>Pagamentos de Custos de Multas</t>
  </si>
  <si>
    <t>FC CUST. E PERD. OPERACIONAIS (Prestação de Serviços)</t>
  </si>
  <si>
    <t>7.20.80.10.10</t>
  </si>
  <si>
    <t>Pagamentos de Custos de Despesas de Comunicação</t>
  </si>
  <si>
    <t>7.20.80.10.20</t>
  </si>
  <si>
    <t>Pagamentos de Custos de Despesas de Publicação</t>
  </si>
  <si>
    <t>7.20.80.10.30</t>
  </si>
  <si>
    <t>Pagamentos de Custos de Despesas de Serviços do Sistema Financeiro</t>
  </si>
  <si>
    <t>7.20.80.10.40</t>
  </si>
  <si>
    <t>Pagamentos de Custos de Despesas de Serviços Técnicos Especializados</t>
  </si>
  <si>
    <t>7.20.80.10.50</t>
  </si>
  <si>
    <t>Pagamentos de Custos de Despesas de Constituição</t>
  </si>
  <si>
    <t>7.20.80.10.60</t>
  </si>
  <si>
    <t>Pagamentos de Custos de Outras Despesas</t>
  </si>
  <si>
    <t>FC CUST. E PERD. OPERACIONAIS</t>
  </si>
  <si>
    <t>7.20.80.20.10</t>
  </si>
  <si>
    <t>Pagamentos de Custos com Pessoal</t>
  </si>
  <si>
    <t>7.20.80.30.10</t>
  </si>
  <si>
    <t>Pagamentos de Custos de Amortizações e Depreciações</t>
  </si>
  <si>
    <t>7.20.80.40.10</t>
  </si>
  <si>
    <t>Pagamentos de Custos de Perdas por Imparidade</t>
  </si>
  <si>
    <t>7.20.80.50.10</t>
  </si>
  <si>
    <t>Pagamento de Custos com Contribuições para o Fundo de Garantia</t>
  </si>
  <si>
    <t>7.20.80.50.20</t>
  </si>
  <si>
    <t>Pagamentos de Custos com Sanções Aplicada pelo Incumprimento das Exigências do Fundo de Garantia</t>
  </si>
  <si>
    <t>FC OUT. CUST E PERDAS</t>
  </si>
  <si>
    <t>7.20.90.10</t>
  </si>
  <si>
    <t>Pagamentos de Outros Custos e Perdas</t>
  </si>
  <si>
    <t>VARIAÇÕES NAS DISPONIBILIADES</t>
  </si>
  <si>
    <t>VARIAÇÕES NAS DISPONIBILIDADES</t>
  </si>
  <si>
    <t>7.90.10</t>
  </si>
  <si>
    <t>Variações nas Disponibilidades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</si>
</sst>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.dd\.yy;@"/>
  </numFmts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Malgun Gothic"/>
      <family val="2"/>
    </font>
    <font>
      <b/>
      <sz val="11"/>
      <color theme="1"/>
      <name val="Malgun Gothic"/>
      <family val="2"/>
    </font>
    <font>
      <sz val="11"/>
      <color theme="1"/>
      <name val="Malgun Gothic"/>
      <family val="2"/>
    </font>
    <font>
      <b/>
      <sz val="11"/>
      <color rgb="FF000000"/>
      <name val="Malgun Gothic"/>
      <family val="2"/>
    </font>
    <font>
      <sz val="11"/>
      <name val="Malgun Gothic"/>
      <family val="2"/>
    </font>
  </fonts>
  <fills count="11">
    <fill>
      <patternFill patternType="none"/>
    </fill>
    <fill>
      <patternFill patternType="gray125"/>
    </fill>
    <fill>
      <patternFill patternType="solid">
        <fgColor rgb="FFA3DBFF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dotted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dotted">
        <color indexed="64"/>
      </top>
      <bottom/>
      <diagonal/>
    </border>
    <border>
      <left/>
      <right style="medium">
        <color indexed="64"/>
      </right>
      <top style="dotted">
        <color indexed="64"/>
      </top>
      <bottom/>
      <diagonal/>
    </border>
    <border>
      <left style="medium">
        <color indexed="64"/>
      </left>
      <right/>
      <top/>
      <bottom style="dotted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/>
      <right/>
      <top/>
      <bottom style="dashDot">
        <color indexed="64"/>
      </bottom>
      <diagonal/>
    </border>
    <border>
      <left/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ashDot">
        <color indexed="64"/>
      </bottom>
      <diagonal/>
    </border>
    <border>
      <left/>
      <right style="medium">
        <color indexed="64"/>
      </right>
      <top/>
      <bottom style="dashDot">
        <color indexed="64"/>
      </bottom>
      <diagonal/>
    </border>
    <border>
      <left/>
      <right/>
      <top/>
      <bottom style="dashDotDot">
        <color indexed="64"/>
      </bottom>
      <diagonal/>
    </border>
    <border>
      <left style="medium">
        <color indexed="64"/>
      </left>
      <right/>
      <top/>
      <bottom style="dashDotDot">
        <color indexed="64"/>
      </bottom>
      <diagonal/>
    </border>
    <border>
      <left/>
      <right style="medium">
        <color indexed="64"/>
      </right>
      <top/>
      <bottom style="dashDotDot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 style="dotted">
        <color indexed="64"/>
      </left>
      <right/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9">
    <xf numFmtId="0" fontId="0" fillId="0" borderId="0" xfId="0"/>
    <xf numFmtId="0" fontId="1" fillId="0" borderId="0" xfId="0" applyFont="1"/>
    <xf numFmtId="4" fontId="0" fillId="0" borderId="0" xfId="0" applyNumberFormat="1"/>
    <xf numFmtId="4" fontId="2" fillId="2" borderId="7" xfId="0" applyNumberFormat="1" applyFont="1" applyFill="1" applyBorder="1" applyAlignment="1">
      <alignment horizontal="center" vertical="center"/>
    </xf>
    <xf numFmtId="0" fontId="4" fillId="0" borderId="0" xfId="0" applyFont="1"/>
    <xf numFmtId="4" fontId="4" fillId="0" borderId="0" xfId="0" applyNumberFormat="1" applyFont="1" applyAlignment="1" applyProtection="1">
      <alignment horizontal="right"/>
      <protection locked="0"/>
    </xf>
    <xf numFmtId="4" fontId="4" fillId="5" borderId="12" xfId="0" applyNumberFormat="1" applyFont="1" applyFill="1" applyBorder="1" applyAlignment="1" applyProtection="1">
      <alignment horizontal="right"/>
      <protection hidden="1"/>
    </xf>
    <xf numFmtId="4" fontId="4" fillId="0" borderId="3" xfId="0" applyNumberFormat="1" applyFont="1" applyBorder="1" applyAlignment="1" applyProtection="1">
      <alignment horizontal="right"/>
      <protection locked="0"/>
    </xf>
    <xf numFmtId="4" fontId="4" fillId="5" borderId="15" xfId="0" applyNumberFormat="1" applyFont="1" applyFill="1" applyBorder="1" applyAlignment="1" applyProtection="1">
      <alignment horizontal="right"/>
      <protection hidden="1"/>
    </xf>
    <xf numFmtId="4" fontId="4" fillId="0" borderId="1" xfId="0" applyNumberFormat="1" applyFont="1" applyBorder="1" applyAlignment="1" applyProtection="1">
      <alignment horizontal="right"/>
      <protection locked="0"/>
    </xf>
    <xf numFmtId="4" fontId="4" fillId="5" borderId="13" xfId="0" applyNumberFormat="1" applyFont="1" applyFill="1" applyBorder="1" applyAlignment="1" applyProtection="1">
      <alignment horizontal="right"/>
      <protection hidden="1"/>
    </xf>
    <xf numFmtId="4" fontId="4" fillId="0" borderId="8" xfId="0" applyNumberFormat="1" applyFont="1" applyBorder="1" applyAlignment="1" applyProtection="1">
      <alignment horizontal="right"/>
      <protection locked="0"/>
    </xf>
    <xf numFmtId="4" fontId="3" fillId="3" borderId="22" xfId="0" applyNumberFormat="1" applyFont="1" applyFill="1" applyBorder="1" applyAlignment="1" applyProtection="1">
      <alignment horizontal="right"/>
      <protection hidden="1"/>
    </xf>
    <xf numFmtId="4" fontId="4" fillId="0" borderId="25" xfId="0" applyNumberFormat="1" applyFont="1" applyBorder="1" applyAlignment="1" applyProtection="1">
      <alignment horizontal="right"/>
      <protection locked="0"/>
    </xf>
    <xf numFmtId="4" fontId="3" fillId="3" borderId="18" xfId="0" applyNumberFormat="1" applyFont="1" applyFill="1" applyBorder="1" applyAlignment="1" applyProtection="1">
      <alignment horizontal="right"/>
      <protection hidden="1"/>
    </xf>
    <xf numFmtId="0" fontId="6" fillId="5" borderId="9" xfId="0" applyFont="1" applyFill="1" applyBorder="1" applyAlignment="1">
      <alignment horizontal="left" vertical="top" wrapText="1"/>
    </xf>
    <xf numFmtId="0" fontId="6" fillId="5" borderId="0" xfId="0" applyFont="1" applyFill="1" applyAlignment="1">
      <alignment horizontal="left" vertical="center"/>
    </xf>
    <xf numFmtId="0" fontId="6" fillId="5" borderId="14" xfId="0" applyFont="1" applyFill="1" applyBorder="1" applyAlignment="1">
      <alignment horizontal="left" vertical="top" wrapText="1"/>
    </xf>
    <xf numFmtId="0" fontId="6" fillId="5" borderId="3" xfId="0" applyFont="1" applyFill="1" applyBorder="1" applyAlignment="1">
      <alignment horizontal="left" vertical="center"/>
    </xf>
    <xf numFmtId="0" fontId="6" fillId="5" borderId="17" xfId="0" applyFont="1" applyFill="1" applyBorder="1" applyAlignment="1">
      <alignment horizontal="left" vertical="top" wrapText="1"/>
    </xf>
    <xf numFmtId="0" fontId="6" fillId="5" borderId="1" xfId="0" applyFont="1" applyFill="1" applyBorder="1" applyAlignment="1">
      <alignment horizontal="left" vertical="center"/>
    </xf>
    <xf numFmtId="164" fontId="5" fillId="3" borderId="16" xfId="0" applyNumberFormat="1" applyFont="1" applyFill="1" applyBorder="1" applyAlignment="1">
      <alignment horizontal="left" vertical="top" shrinkToFit="1"/>
    </xf>
    <xf numFmtId="0" fontId="2" fillId="3" borderId="8" xfId="0" applyFont="1" applyFill="1" applyBorder="1" applyAlignment="1">
      <alignment horizontal="left" vertical="center"/>
    </xf>
    <xf numFmtId="164" fontId="5" fillId="3" borderId="24" xfId="0" applyNumberFormat="1" applyFont="1" applyFill="1" applyBorder="1" applyAlignment="1">
      <alignment horizontal="left" vertical="top" shrinkToFit="1"/>
    </xf>
    <xf numFmtId="0" fontId="2" fillId="3" borderId="25" xfId="0" applyFont="1" applyFill="1" applyBorder="1" applyAlignment="1">
      <alignment horizontal="left" vertical="center"/>
    </xf>
    <xf numFmtId="4" fontId="4" fillId="5" borderId="0" xfId="0" applyNumberFormat="1" applyFont="1" applyFill="1" applyAlignment="1" applyProtection="1">
      <alignment horizontal="right"/>
      <protection hidden="1"/>
    </xf>
    <xf numFmtId="4" fontId="4" fillId="5" borderId="3" xfId="0" applyNumberFormat="1" applyFont="1" applyFill="1" applyBorder="1" applyAlignment="1" applyProtection="1">
      <alignment horizontal="right"/>
      <protection hidden="1"/>
    </xf>
    <xf numFmtId="4" fontId="4" fillId="5" borderId="1" xfId="0" applyNumberFormat="1" applyFont="1" applyFill="1" applyBorder="1" applyAlignment="1" applyProtection="1">
      <alignment horizontal="right"/>
      <protection hidden="1"/>
    </xf>
    <xf numFmtId="4" fontId="4" fillId="5" borderId="10" xfId="0" applyNumberFormat="1" applyFont="1" applyFill="1" applyBorder="1" applyAlignment="1" applyProtection="1">
      <alignment horizontal="right"/>
      <protection hidden="1"/>
    </xf>
    <xf numFmtId="4" fontId="4" fillId="0" borderId="11" xfId="0" applyNumberFormat="1" applyFont="1" applyBorder="1" applyAlignment="1" applyProtection="1">
      <alignment horizontal="right"/>
      <protection locked="0"/>
    </xf>
    <xf numFmtId="4" fontId="3" fillId="3" borderId="8" xfId="0" applyNumberFormat="1" applyFont="1" applyFill="1" applyBorder="1" applyAlignment="1" applyProtection="1">
      <alignment horizontal="right"/>
      <protection hidden="1"/>
    </xf>
    <xf numFmtId="0" fontId="2" fillId="3" borderId="0" xfId="0" applyFont="1" applyFill="1" applyAlignment="1">
      <alignment horizontal="left" vertical="center"/>
    </xf>
    <xf numFmtId="0" fontId="2" fillId="4" borderId="45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164" fontId="5" fillId="3" borderId="9" xfId="0" applyNumberFormat="1" applyFont="1" applyFill="1" applyBorder="1" applyAlignment="1">
      <alignment horizontal="left" vertical="top" shrinkToFit="1"/>
    </xf>
    <xf numFmtId="0" fontId="6" fillId="5" borderId="19" xfId="0" applyFont="1" applyFill="1" applyBorder="1" applyAlignment="1">
      <alignment horizontal="left" vertical="top" wrapText="1"/>
    </xf>
    <xf numFmtId="0" fontId="6" fillId="6" borderId="9" xfId="0" applyFont="1" applyFill="1" applyBorder="1" applyAlignment="1">
      <alignment horizontal="left" vertical="center"/>
    </xf>
    <xf numFmtId="0" fontId="6" fillId="6" borderId="21" xfId="0" applyFont="1" applyFill="1" applyBorder="1" applyAlignment="1">
      <alignment horizontal="left" vertical="center"/>
    </xf>
    <xf numFmtId="0" fontId="6" fillId="6" borderId="14" xfId="0" applyFont="1" applyFill="1" applyBorder="1" applyAlignment="1">
      <alignment horizontal="left" vertical="center"/>
    </xf>
    <xf numFmtId="0" fontId="6" fillId="6" borderId="0" xfId="0" applyFont="1" applyFill="1" applyAlignment="1">
      <alignment horizontal="left" vertical="center"/>
    </xf>
    <xf numFmtId="0" fontId="6" fillId="7" borderId="0" xfId="0" applyFont="1" applyFill="1" applyAlignment="1">
      <alignment horizontal="left" vertical="center"/>
    </xf>
    <xf numFmtId="0" fontId="6" fillId="8" borderId="0" xfId="0" applyFont="1" applyFill="1" applyAlignment="1">
      <alignment horizontal="left" vertical="center"/>
    </xf>
    <xf numFmtId="4" fontId="4" fillId="6" borderId="12" xfId="0" applyNumberFormat="1" applyFont="1" applyFill="1" applyBorder="1" applyAlignment="1" applyProtection="1">
      <alignment horizontal="right"/>
      <protection hidden="1"/>
    </xf>
    <xf numFmtId="4" fontId="4" fillId="6" borderId="23" xfId="0" applyNumberFormat="1" applyFont="1" applyFill="1" applyBorder="1" applyAlignment="1" applyProtection="1">
      <alignment horizontal="right"/>
      <protection hidden="1"/>
    </xf>
    <xf numFmtId="4" fontId="4" fillId="6" borderId="15" xfId="0" applyNumberFormat="1" applyFont="1" applyFill="1" applyBorder="1" applyAlignment="1" applyProtection="1">
      <alignment horizontal="right"/>
      <protection hidden="1"/>
    </xf>
    <xf numFmtId="4" fontId="4" fillId="5" borderId="20" xfId="0" applyNumberFormat="1" applyFont="1" applyFill="1" applyBorder="1" applyAlignment="1" applyProtection="1">
      <alignment horizontal="right"/>
      <protection hidden="1"/>
    </xf>
    <xf numFmtId="4" fontId="4" fillId="0" borderId="26" xfId="0" applyNumberFormat="1" applyFont="1" applyBorder="1" applyAlignment="1" applyProtection="1">
      <alignment horizontal="right"/>
      <protection locked="0"/>
    </xf>
    <xf numFmtId="4" fontId="4" fillId="5" borderId="28" xfId="0" applyNumberFormat="1" applyFont="1" applyFill="1" applyBorder="1" applyAlignment="1" applyProtection="1">
      <alignment horizontal="right"/>
      <protection hidden="1"/>
    </xf>
    <xf numFmtId="4" fontId="3" fillId="3" borderId="13" xfId="0" applyNumberFormat="1" applyFont="1" applyFill="1" applyBorder="1" applyAlignment="1" applyProtection="1">
      <alignment horizontal="right"/>
      <protection hidden="1"/>
    </xf>
    <xf numFmtId="0" fontId="2" fillId="4" borderId="41" xfId="0" applyFont="1" applyFill="1" applyBorder="1" applyAlignment="1">
      <alignment horizontal="left" vertical="center"/>
    </xf>
    <xf numFmtId="0" fontId="6" fillId="6" borderId="11" xfId="0" applyFont="1" applyFill="1" applyBorder="1" applyAlignment="1">
      <alignment horizontal="left" vertical="center"/>
    </xf>
    <xf numFmtId="0" fontId="6" fillId="8" borderId="9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0" fontId="6" fillId="5" borderId="27" xfId="0" applyFont="1" applyFill="1" applyBorder="1" applyAlignment="1">
      <alignment horizontal="left" vertical="top" wrapText="1"/>
    </xf>
    <xf numFmtId="0" fontId="6" fillId="5" borderId="26" xfId="0" applyFont="1" applyFill="1" applyBorder="1" applyAlignment="1">
      <alignment horizontal="left" vertical="center"/>
    </xf>
    <xf numFmtId="164" fontId="5" fillId="3" borderId="17" xfId="0" applyNumberFormat="1" applyFont="1" applyFill="1" applyBorder="1" applyAlignment="1">
      <alignment horizontal="left" vertical="top" shrinkToFit="1"/>
    </xf>
    <xf numFmtId="0" fontId="6" fillId="6" borderId="3" xfId="0" applyFont="1" applyFill="1" applyBorder="1" applyAlignment="1">
      <alignment horizontal="left" vertical="center"/>
    </xf>
    <xf numFmtId="0" fontId="2" fillId="4" borderId="42" xfId="0" applyFont="1" applyFill="1" applyBorder="1" applyAlignment="1">
      <alignment horizontal="left" vertical="center"/>
    </xf>
    <xf numFmtId="4" fontId="3" fillId="3" borderId="25" xfId="0" applyNumberFormat="1" applyFont="1" applyFill="1" applyBorder="1" applyAlignment="1" applyProtection="1">
      <alignment horizontal="right"/>
      <protection hidden="1"/>
    </xf>
    <xf numFmtId="4" fontId="4" fillId="0" borderId="7" xfId="0" applyNumberFormat="1" applyFont="1" applyBorder="1" applyAlignment="1" applyProtection="1">
      <alignment horizontal="right"/>
      <protection locked="0"/>
    </xf>
    <xf numFmtId="4" fontId="3" fillId="4" borderId="7" xfId="0" applyNumberFormat="1" applyFont="1" applyFill="1" applyBorder="1" applyAlignment="1" applyProtection="1">
      <alignment horizontal="right"/>
      <protection hidden="1"/>
    </xf>
    <xf numFmtId="0" fontId="3" fillId="0" borderId="0" xfId="0" applyFont="1"/>
    <xf numFmtId="2" fontId="5" fillId="4" borderId="6" xfId="0" applyNumberFormat="1" applyFont="1" applyFill="1" applyBorder="1" applyAlignment="1">
      <alignment horizontal="left" vertical="top" shrinkToFit="1"/>
    </xf>
    <xf numFmtId="0" fontId="2" fillId="4" borderId="7" xfId="0" applyFont="1" applyFill="1" applyBorder="1" applyAlignment="1">
      <alignment horizontal="left" vertical="center" wrapText="1"/>
    </xf>
    <xf numFmtId="4" fontId="4" fillId="0" borderId="31" xfId="0" applyNumberFormat="1" applyFont="1" applyBorder="1" applyAlignment="1" applyProtection="1">
      <alignment horizontal="right"/>
      <protection locked="0"/>
    </xf>
    <xf numFmtId="4" fontId="4" fillId="6" borderId="35" xfId="0" applyNumberFormat="1" applyFont="1" applyFill="1" applyBorder="1" applyAlignment="1" applyProtection="1">
      <alignment horizontal="right"/>
      <protection hidden="1"/>
    </xf>
    <xf numFmtId="4" fontId="4" fillId="7" borderId="12" xfId="0" applyNumberFormat="1" applyFont="1" applyFill="1" applyBorder="1" applyAlignment="1" applyProtection="1">
      <alignment horizontal="right"/>
      <protection hidden="1"/>
    </xf>
    <xf numFmtId="4" fontId="4" fillId="0" borderId="29" xfId="0" applyNumberFormat="1" applyFont="1" applyBorder="1" applyAlignment="1" applyProtection="1">
      <alignment horizontal="right"/>
      <protection locked="0"/>
    </xf>
    <xf numFmtId="4" fontId="4" fillId="7" borderId="37" xfId="0" applyNumberFormat="1" applyFont="1" applyFill="1" applyBorder="1" applyAlignment="1" applyProtection="1">
      <alignment horizontal="right"/>
      <protection hidden="1"/>
    </xf>
    <xf numFmtId="4" fontId="4" fillId="5" borderId="33" xfId="0" applyNumberFormat="1" applyFont="1" applyFill="1" applyBorder="1" applyAlignment="1" applyProtection="1">
      <alignment horizontal="right"/>
      <protection hidden="1"/>
    </xf>
    <xf numFmtId="4" fontId="4" fillId="0" borderId="38" xfId="0" applyNumberFormat="1" applyFont="1" applyBorder="1" applyAlignment="1" applyProtection="1">
      <alignment horizontal="right"/>
      <protection locked="0"/>
    </xf>
    <xf numFmtId="4" fontId="4" fillId="7" borderId="40" xfId="0" applyNumberFormat="1" applyFont="1" applyFill="1" applyBorder="1" applyAlignment="1" applyProtection="1">
      <alignment horizontal="right"/>
      <protection hidden="1"/>
    </xf>
    <xf numFmtId="4" fontId="3" fillId="3" borderId="12" xfId="0" applyNumberFormat="1" applyFont="1" applyFill="1" applyBorder="1" applyAlignment="1" applyProtection="1">
      <alignment horizontal="right"/>
      <protection hidden="1"/>
    </xf>
    <xf numFmtId="0" fontId="6" fillId="6" borderId="34" xfId="0" applyFont="1" applyFill="1" applyBorder="1" applyAlignment="1">
      <alignment horizontal="left" vertical="center"/>
    </xf>
    <xf numFmtId="0" fontId="6" fillId="6" borderId="31" xfId="0" applyFont="1" applyFill="1" applyBorder="1" applyAlignment="1">
      <alignment horizontal="left" vertical="center"/>
    </xf>
    <xf numFmtId="0" fontId="6" fillId="7" borderId="9" xfId="0" applyFont="1" applyFill="1" applyBorder="1" applyAlignment="1">
      <alignment horizontal="left" vertical="top" wrapText="1"/>
    </xf>
    <xf numFmtId="0" fontId="6" fillId="7" borderId="36" xfId="0" applyFont="1" applyFill="1" applyBorder="1" applyAlignment="1">
      <alignment horizontal="left" vertical="top" wrapText="1"/>
    </xf>
    <xf numFmtId="0" fontId="6" fillId="7" borderId="29" xfId="0" applyFont="1" applyFill="1" applyBorder="1" applyAlignment="1">
      <alignment horizontal="left" vertical="center"/>
    </xf>
    <xf numFmtId="0" fontId="6" fillId="5" borderId="32" xfId="0" applyFont="1" applyFill="1" applyBorder="1" applyAlignment="1">
      <alignment horizontal="left" vertical="top" wrapText="1"/>
    </xf>
    <xf numFmtId="0" fontId="6" fillId="5" borderId="30" xfId="0" applyFont="1" applyFill="1" applyBorder="1" applyAlignment="1">
      <alignment horizontal="left" vertical="center"/>
    </xf>
    <xf numFmtId="0" fontId="6" fillId="7" borderId="39" xfId="0" applyFont="1" applyFill="1" applyBorder="1" applyAlignment="1">
      <alignment horizontal="left" vertical="top" wrapText="1"/>
    </xf>
    <xf numFmtId="0" fontId="6" fillId="7" borderId="38" xfId="0" applyFont="1" applyFill="1" applyBorder="1" applyAlignment="1">
      <alignment horizontal="left" vertical="center"/>
    </xf>
    <xf numFmtId="4" fontId="3" fillId="5" borderId="12" xfId="0" applyNumberFormat="1" applyFont="1" applyFill="1" applyBorder="1" applyAlignment="1" applyProtection="1">
      <alignment horizontal="right"/>
      <protection hidden="1"/>
    </xf>
    <xf numFmtId="4" fontId="3" fillId="6" borderId="12" xfId="0" applyNumberFormat="1" applyFont="1" applyFill="1" applyBorder="1" applyAlignment="1" applyProtection="1">
      <alignment horizontal="right"/>
      <protection hidden="1"/>
    </xf>
    <xf numFmtId="4" fontId="3" fillId="9" borderId="12" xfId="0" applyNumberFormat="1" applyFont="1" applyFill="1" applyBorder="1" applyAlignment="1" applyProtection="1">
      <alignment horizontal="right"/>
      <protection hidden="1"/>
    </xf>
    <xf numFmtId="4" fontId="3" fillId="5" borderId="13" xfId="0" applyNumberFormat="1" applyFont="1" applyFill="1" applyBorder="1" applyAlignment="1" applyProtection="1">
      <alignment horizontal="right"/>
      <protection hidden="1"/>
    </xf>
    <xf numFmtId="2" fontId="3" fillId="3" borderId="0" xfId="0" applyNumberFormat="1" applyFont="1" applyFill="1" applyAlignment="1" applyProtection="1">
      <alignment horizontal="right"/>
      <protection hidden="1"/>
    </xf>
    <xf numFmtId="4" fontId="2" fillId="2" borderId="0" xfId="0" applyNumberFormat="1" applyFont="1" applyFill="1" applyAlignment="1">
      <alignment horizontal="center" vertical="center" wrapText="1"/>
    </xf>
    <xf numFmtId="4" fontId="2" fillId="2" borderId="43" xfId="0" applyNumberFormat="1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center"/>
    </xf>
    <xf numFmtId="4" fontId="3" fillId="3" borderId="0" xfId="0" applyNumberFormat="1" applyFont="1" applyFill="1" applyAlignment="1" applyProtection="1">
      <alignment horizontal="right"/>
      <protection hidden="1"/>
    </xf>
    <xf numFmtId="164" fontId="5" fillId="3" borderId="41" xfId="0" applyNumberFormat="1" applyFont="1" applyFill="1" applyBorder="1" applyAlignment="1">
      <alignment horizontal="left" vertical="top" shrinkToFit="1"/>
    </xf>
    <xf numFmtId="0" fontId="6" fillId="5" borderId="41" xfId="0" applyFont="1" applyFill="1" applyBorder="1" applyAlignment="1">
      <alignment horizontal="left" vertical="top" wrapText="1"/>
    </xf>
    <xf numFmtId="0" fontId="6" fillId="5" borderId="47" xfId="0" applyFont="1" applyFill="1" applyBorder="1" applyAlignment="1">
      <alignment horizontal="left" vertical="top" wrapText="1"/>
    </xf>
    <xf numFmtId="4" fontId="3" fillId="3" borderId="2" xfId="0" applyNumberFormat="1" applyFont="1" applyFill="1" applyBorder="1" applyAlignment="1" applyProtection="1">
      <alignment horizontal="right"/>
      <protection hidden="1"/>
    </xf>
    <xf numFmtId="4" fontId="3" fillId="9" borderId="0" xfId="0" applyNumberFormat="1" applyFont="1" applyFill="1" applyAlignment="1" applyProtection="1">
      <alignment horizontal="right"/>
      <protection hidden="1"/>
    </xf>
    <xf numFmtId="4" fontId="4" fillId="9" borderId="0" xfId="0" applyNumberFormat="1" applyFont="1" applyFill="1" applyAlignment="1" applyProtection="1">
      <alignment horizontal="right"/>
      <protection locked="0"/>
    </xf>
    <xf numFmtId="4" fontId="3" fillId="9" borderId="2" xfId="0" applyNumberFormat="1" applyFont="1" applyFill="1" applyBorder="1" applyAlignment="1" applyProtection="1">
      <alignment horizontal="right"/>
      <protection hidden="1"/>
    </xf>
    <xf numFmtId="4" fontId="3" fillId="5" borderId="0" xfId="0" applyNumberFormat="1" applyFont="1" applyFill="1" applyAlignment="1" applyProtection="1">
      <alignment horizontal="right"/>
      <protection hidden="1"/>
    </xf>
    <xf numFmtId="0" fontId="2" fillId="4" borderId="44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horizontal="left" vertical="center"/>
    </xf>
    <xf numFmtId="0" fontId="6" fillId="5" borderId="14" xfId="0" applyFont="1" applyFill="1" applyBorder="1" applyAlignment="1">
      <alignment horizontal="left" vertical="center"/>
    </xf>
    <xf numFmtId="0" fontId="2" fillId="3" borderId="9" xfId="0" applyFont="1" applyFill="1" applyBorder="1" applyAlignment="1">
      <alignment horizontal="left" vertical="center"/>
    </xf>
    <xf numFmtId="0" fontId="6" fillId="5" borderId="17" xfId="0" applyFont="1" applyFill="1" applyBorder="1" applyAlignment="1">
      <alignment horizontal="left" vertical="center"/>
    </xf>
    <xf numFmtId="164" fontId="5" fillId="3" borderId="5" xfId="0" applyNumberFormat="1" applyFont="1" applyFill="1" applyBorder="1" applyAlignment="1">
      <alignment horizontal="left" vertical="top" shrinkToFit="1"/>
    </xf>
    <xf numFmtId="0" fontId="2" fillId="3" borderId="5" xfId="0" applyFont="1" applyFill="1" applyBorder="1" applyAlignment="1">
      <alignment horizontal="left" vertical="center"/>
    </xf>
    <xf numFmtId="4" fontId="3" fillId="6" borderId="0" xfId="0" applyNumberFormat="1" applyFont="1" applyFill="1" applyAlignment="1" applyProtection="1">
      <alignment horizontal="right"/>
      <protection hidden="1"/>
    </xf>
    <xf numFmtId="0" fontId="6" fillId="6" borderId="9" xfId="0" applyFont="1" applyFill="1" applyBorder="1" applyAlignment="1">
      <alignment horizontal="left" vertical="top" wrapText="1"/>
    </xf>
    <xf numFmtId="4" fontId="4" fillId="6" borderId="0" xfId="0" applyNumberFormat="1" applyFont="1" applyFill="1" applyAlignment="1" applyProtection="1">
      <alignment horizontal="right"/>
      <protection hidden="1"/>
    </xf>
    <xf numFmtId="0" fontId="6" fillId="6" borderId="21" xfId="0" applyFont="1" applyFill="1" applyBorder="1" applyAlignment="1">
      <alignment horizontal="left" vertical="top" wrapText="1"/>
    </xf>
    <xf numFmtId="4" fontId="4" fillId="6" borderId="11" xfId="0" applyNumberFormat="1" applyFont="1" applyFill="1" applyBorder="1" applyAlignment="1" applyProtection="1">
      <alignment horizontal="right"/>
      <protection hidden="1"/>
    </xf>
    <xf numFmtId="0" fontId="6" fillId="6" borderId="14" xfId="0" applyFont="1" applyFill="1" applyBorder="1" applyAlignment="1">
      <alignment horizontal="left" vertical="top" wrapText="1"/>
    </xf>
    <xf numFmtId="4" fontId="4" fillId="6" borderId="3" xfId="0" applyNumberFormat="1" applyFont="1" applyFill="1" applyBorder="1" applyAlignment="1" applyProtection="1">
      <alignment horizontal="right"/>
      <protection hidden="1"/>
    </xf>
    <xf numFmtId="0" fontId="2" fillId="4" borderId="0" xfId="0" applyFont="1" applyFill="1" applyAlignment="1">
      <alignment horizontal="left" vertical="center"/>
    </xf>
    <xf numFmtId="0" fontId="2" fillId="10" borderId="16" xfId="0" applyFont="1" applyFill="1" applyBorder="1" applyAlignment="1">
      <alignment horizontal="left" vertical="center"/>
    </xf>
    <xf numFmtId="164" fontId="5" fillId="10" borderId="16" xfId="0" applyNumberFormat="1" applyFont="1" applyFill="1" applyBorder="1" applyAlignment="1">
      <alignment horizontal="left" vertical="top" shrinkToFit="1"/>
    </xf>
    <xf numFmtId="4" fontId="3" fillId="10" borderId="8" xfId="0" applyNumberFormat="1" applyFont="1" applyFill="1" applyBorder="1" applyAlignment="1" applyProtection="1">
      <alignment horizontal="right"/>
      <protection hidden="1"/>
    </xf>
    <xf numFmtId="0" fontId="0" fillId="10" borderId="0" xfId="0" applyFill="1"/>
    <xf numFmtId="0" fontId="6" fillId="6" borderId="17" xfId="0" applyFont="1" applyFill="1" applyBorder="1" applyAlignment="1">
      <alignment horizontal="left" vertical="top" wrapText="1"/>
    </xf>
    <xf numFmtId="0" fontId="6" fillId="6" borderId="17" xfId="0" applyFont="1" applyFill="1" applyBorder="1" applyAlignment="1">
      <alignment horizontal="left" vertical="center"/>
    </xf>
    <xf numFmtId="4" fontId="4" fillId="6" borderId="1" xfId="0" applyNumberFormat="1" applyFont="1" applyFill="1" applyBorder="1" applyAlignment="1" applyProtection="1">
      <alignment horizontal="right"/>
      <protection hidden="1"/>
    </xf>
    <xf numFmtId="0" fontId="2" fillId="3" borderId="16" xfId="0" applyFont="1" applyFill="1" applyBorder="1" applyAlignment="1">
      <alignment horizontal="left" vertical="center"/>
    </xf>
    <xf numFmtId="0" fontId="6" fillId="5" borderId="19" xfId="0" applyFont="1" applyFill="1" applyBorder="1" applyAlignment="1">
      <alignment horizontal="left" vertical="center"/>
    </xf>
    <xf numFmtId="0" fontId="6" fillId="5" borderId="48" xfId="0" applyFont="1" applyFill="1" applyBorder="1" applyAlignment="1">
      <alignment horizontal="left" vertical="top" wrapText="1"/>
    </xf>
    <xf numFmtId="0" fontId="6" fillId="5" borderId="48" xfId="0" applyFont="1" applyFill="1" applyBorder="1" applyAlignment="1">
      <alignment horizontal="left" vertical="center"/>
    </xf>
    <xf numFmtId="4" fontId="4" fillId="5" borderId="49" xfId="0" applyNumberFormat="1" applyFont="1" applyFill="1" applyBorder="1" applyAlignment="1" applyProtection="1">
      <alignment horizontal="right"/>
      <protection hidden="1"/>
    </xf>
    <xf numFmtId="0" fontId="6" fillId="8" borderId="41" xfId="0" applyFont="1" applyFill="1" applyBorder="1" applyAlignment="1">
      <alignment horizontal="left" vertical="top" wrapText="1"/>
    </xf>
    <xf numFmtId="0" fontId="6" fillId="7" borderId="41" xfId="0" applyFont="1" applyFill="1" applyBorder="1" applyAlignment="1">
      <alignment horizontal="left" vertical="top" wrapText="1"/>
    </xf>
    <xf numFmtId="0" fontId="6" fillId="5" borderId="42" xfId="0" applyFont="1" applyFill="1" applyBorder="1" applyAlignment="1">
      <alignment horizontal="left" vertical="top" wrapText="1"/>
    </xf>
    <xf numFmtId="4" fontId="4" fillId="0" borderId="50" xfId="0" applyNumberFormat="1" applyFont="1" applyBorder="1" applyAlignment="1" applyProtection="1">
      <alignment horizontal="right"/>
      <protection locked="0"/>
    </xf>
    <xf numFmtId="4" fontId="6" fillId="0" borderId="50" xfId="0" applyNumberFormat="1" applyFont="1" applyBorder="1" applyAlignment="1" applyProtection="1">
      <alignment horizontal="right"/>
      <protection locked="0"/>
    </xf>
    <xf numFmtId="4" fontId="6" fillId="0" borderId="0" xfId="0" applyNumberFormat="1" applyFont="1" applyAlignment="1" applyProtection="1">
      <alignment horizontal="right"/>
      <protection locked="0"/>
    </xf>
    <xf numFmtId="0" fontId="2" fillId="4" borderId="51" xfId="0" applyFont="1" applyFill="1" applyBorder="1" applyAlignment="1">
      <alignment horizontal="left" vertical="center"/>
    </xf>
    <xf numFmtId="4" fontId="6" fillId="0" borderId="1" xfId="0" applyNumberFormat="1" applyFont="1" applyBorder="1" applyAlignment="1" applyProtection="1">
      <alignment horizontal="right"/>
      <protection locked="0"/>
    </xf>
    <xf numFmtId="4" fontId="4" fillId="0" borderId="0" xfId="0" applyNumberFormat="1" applyFont="1" applyAlignment="1">
      <alignment horizontal="right"/>
    </xf>
    <xf numFmtId="0" fontId="4" fillId="2" borderId="0" xfId="0" applyFont="1" applyFill="1"/>
    <xf numFmtId="0" fontId="4" fillId="2" borderId="0" xfId="0" applyFont="1" applyFill="1" applyAlignment="1">
      <alignment horizontal="left" vertical="center"/>
    </xf>
    <xf numFmtId="0" fontId="3" fillId="0" borderId="41" xfId="0" applyFont="1" applyBorder="1"/>
    <xf numFmtId="0" fontId="2" fillId="0" borderId="41" xfId="0" applyFont="1" applyBorder="1"/>
    <xf numFmtId="0" fontId="3" fillId="0" borderId="42" xfId="0" applyFont="1" applyBorder="1"/>
    <xf numFmtId="0" fontId="4" fillId="0" borderId="43" xfId="0" applyFont="1" applyBorder="1"/>
    <xf numFmtId="0" fontId="2" fillId="3" borderId="2" xfId="0" applyFont="1" applyFill="1" applyBorder="1" applyAlignment="1">
      <alignment horizontal="left" vertical="center"/>
    </xf>
    <xf numFmtId="4" fontId="4" fillId="0" borderId="2" xfId="0" applyNumberFormat="1" applyFont="1" applyBorder="1" applyAlignment="1" applyProtection="1">
      <alignment horizontal="right"/>
      <protection locked="0"/>
    </xf>
    <xf numFmtId="4" fontId="3" fillId="0" borderId="2" xfId="0" applyNumberFormat="1" applyFont="1" applyBorder="1" applyAlignment="1" applyProtection="1">
      <alignment horizontal="right"/>
      <protection hidden="1"/>
    </xf>
    <xf numFmtId="0" fontId="2" fillId="4" borderId="52" xfId="0" applyFont="1" applyFill="1" applyBorder="1" applyAlignment="1">
      <alignment horizontal="left" vertical="center"/>
    </xf>
    <xf numFmtId="0" fontId="6" fillId="7" borderId="21" xfId="0" applyFont="1" applyFill="1" applyBorder="1" applyAlignment="1">
      <alignment horizontal="left" vertical="top" wrapText="1"/>
    </xf>
    <xf numFmtId="0" fontId="6" fillId="7" borderId="11" xfId="0" applyFont="1" applyFill="1" applyBorder="1" applyAlignment="1">
      <alignment horizontal="left" vertical="center"/>
    </xf>
    <xf numFmtId="4" fontId="4" fillId="7" borderId="23" xfId="0" applyNumberFormat="1" applyFont="1" applyFill="1" applyBorder="1" applyAlignment="1" applyProtection="1">
      <alignment horizontal="right"/>
      <protection hidden="1"/>
    </xf>
    <xf numFmtId="4" fontId="4" fillId="6" borderId="31" xfId="0" applyNumberFormat="1" applyFont="1" applyFill="1" applyBorder="1" applyAlignment="1" applyProtection="1">
      <alignment horizontal="right"/>
      <protection hidden="1"/>
    </xf>
    <xf numFmtId="164" fontId="5" fillId="3" borderId="9" xfId="0" applyNumberFormat="1" applyFont="1" applyFill="1" applyBorder="1" applyAlignment="1">
      <alignment horizontal="right" vertical="top" shrinkToFit="1"/>
    </xf>
    <xf numFmtId="164" fontId="5" fillId="3" borderId="5" xfId="0" applyNumberFormat="1" applyFont="1" applyFill="1" applyBorder="1" applyAlignment="1">
      <alignment horizontal="right" vertical="top" shrinkToFit="1"/>
    </xf>
    <xf numFmtId="0" fontId="3" fillId="0" borderId="0" xfId="0" applyFont="1" applyAlignment="1">
      <alignment horizontal="center"/>
    </xf>
    <xf numFmtId="0" fontId="2" fillId="4" borderId="16" xfId="0" applyFont="1" applyFill="1" applyBorder="1" applyAlignment="1">
      <alignment horizontal="left" vertical="center"/>
    </xf>
    <xf numFmtId="4" fontId="4" fillId="10" borderId="0" xfId="0" applyNumberFormat="1" applyFont="1" applyFill="1" applyAlignment="1" applyProtection="1">
      <alignment horizontal="right"/>
      <protection locked="0"/>
    </xf>
    <xf numFmtId="4" fontId="4" fillId="10" borderId="3" xfId="0" applyNumberFormat="1" applyFont="1" applyFill="1" applyBorder="1" applyAlignment="1" applyProtection="1">
      <alignment horizontal="right"/>
      <protection locked="0"/>
    </xf>
    <xf numFmtId="4" fontId="0" fillId="0" borderId="0" xfId="0" applyNumberFormat="1" applyAlignment="1" applyProtection="1">
      <alignment horizontal="right"/>
      <protection locked="0"/>
    </xf>
    <xf numFmtId="0" fontId="2" fillId="9" borderId="44" xfId="0" applyFont="1" applyFill="1" applyBorder="1" applyAlignment="1">
      <alignment horizontal="left" vertical="center"/>
    </xf>
    <xf numFmtId="4" fontId="4" fillId="0" borderId="15" xfId="0" applyNumberFormat="1" applyFont="1" applyBorder="1" applyAlignment="1" applyProtection="1">
      <alignment horizontal="right"/>
      <protection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86CEF6"/>
      <color rgb="FFFFFF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3EC5A6-A2E3-4805-8333-7A2A6EEFE085}">
  <sheetPr>
    <pageSetUpPr fitToPage="1"/>
  </sheetPr>
  <dimension ref="A1:K596"/>
  <sheetViews>
    <sheetView tabSelected="1" zoomScale="74" zoomScaleNormal="110" workbookViewId="0">
      <pane ySplit="1" topLeftCell="A2" activePane="bottomLeft" state="frozen"/>
      <selection pane="bottomLeft" activeCell="D8" sqref="D8"/>
      <selection activeCell="A3" sqref="A3"/>
    </sheetView>
  </sheetViews>
  <sheetFormatPr defaultColWidth="18.28515625" defaultRowHeight="16.5"/>
  <cols>
    <col min="1" max="1" width="14.140625" style="135" customWidth="1"/>
    <col min="2" max="2" width="41.28515625" style="4" customWidth="1"/>
    <col min="3" max="3" width="14.85546875" style="4" customWidth="1"/>
    <col min="4" max="4" width="48.7109375" style="4" customWidth="1"/>
    <col min="5" max="5" width="26.28515625" style="136" customWidth="1"/>
    <col min="6" max="6" width="72.28515625" style="137" bestFit="1" customWidth="1"/>
    <col min="7" max="9" width="18.140625" style="135" bestFit="1" customWidth="1"/>
  </cols>
  <sheetData>
    <row r="1" spans="1:11" ht="33">
      <c r="A1" s="87" t="s">
        <v>0</v>
      </c>
      <c r="B1" s="88" t="s">
        <v>1</v>
      </c>
      <c r="C1" s="88" t="s">
        <v>2</v>
      </c>
      <c r="D1" s="88" t="s">
        <v>3</v>
      </c>
      <c r="E1" s="89" t="s">
        <v>4</v>
      </c>
      <c r="F1" s="90" t="s">
        <v>5</v>
      </c>
      <c r="G1" s="3" t="s">
        <v>6</v>
      </c>
      <c r="H1" s="3" t="s">
        <v>7</v>
      </c>
      <c r="I1" s="3" t="s">
        <v>8</v>
      </c>
      <c r="J1" s="1"/>
      <c r="K1" s="1"/>
    </row>
    <row r="2" spans="1:11" ht="17.25" thickBot="1">
      <c r="A2" s="91" t="str">
        <f>+LEFT(E2,3)</f>
        <v>1.1</v>
      </c>
      <c r="B2" s="32" t="s">
        <v>9</v>
      </c>
      <c r="C2" s="32" t="s">
        <v>10</v>
      </c>
      <c r="D2" s="32" t="s">
        <v>11</v>
      </c>
      <c r="E2" s="92" t="s">
        <v>10</v>
      </c>
      <c r="F2" s="31" t="s">
        <v>12</v>
      </c>
      <c r="G2" s="5">
        <v>0</v>
      </c>
      <c r="H2" s="5">
        <v>0</v>
      </c>
      <c r="I2" s="91">
        <f t="shared" ref="I2:I48" si="0">G2-H2</f>
        <v>0</v>
      </c>
      <c r="J2" s="1"/>
      <c r="K2" s="1"/>
    </row>
    <row r="3" spans="1:11">
      <c r="A3" s="91" t="str">
        <f t="shared" ref="A3:A6" si="1">+LEFT(E3,3)</f>
        <v>1.1</v>
      </c>
      <c r="B3" s="32" t="s">
        <v>9</v>
      </c>
      <c r="C3" s="32" t="s">
        <v>13</v>
      </c>
      <c r="D3" s="32" t="s">
        <v>14</v>
      </c>
      <c r="E3" s="93" t="s">
        <v>15</v>
      </c>
      <c r="F3" s="16" t="s">
        <v>16</v>
      </c>
      <c r="G3" s="5">
        <v>5006186764.6700001</v>
      </c>
      <c r="H3" s="5">
        <v>4922005522.3299999</v>
      </c>
      <c r="I3" s="25">
        <f>G3-H3</f>
        <v>84181242.340000153</v>
      </c>
      <c r="J3" s="2"/>
    </row>
    <row r="4" spans="1:11">
      <c r="A4" s="91" t="str">
        <f t="shared" si="1"/>
        <v>1.1</v>
      </c>
      <c r="B4" s="32" t="s">
        <v>9</v>
      </c>
      <c r="C4" s="32" t="s">
        <v>13</v>
      </c>
      <c r="D4" s="32" t="s">
        <v>14</v>
      </c>
      <c r="E4" s="94" t="s">
        <v>17</v>
      </c>
      <c r="F4" s="18" t="s">
        <v>18</v>
      </c>
      <c r="G4" s="7">
        <v>2949379.55</v>
      </c>
      <c r="H4" s="7">
        <v>1852800.73</v>
      </c>
      <c r="I4" s="26">
        <f t="shared" si="0"/>
        <v>1096578.8199999998</v>
      </c>
      <c r="J4" s="1"/>
      <c r="K4" s="1"/>
    </row>
    <row r="5" spans="1:11" ht="17.25" thickBot="1">
      <c r="A5" s="91" t="str">
        <f t="shared" si="1"/>
        <v>1.1</v>
      </c>
      <c r="B5" s="32" t="s">
        <v>9</v>
      </c>
      <c r="C5" s="32" t="s">
        <v>19</v>
      </c>
      <c r="D5" s="32" t="s">
        <v>20</v>
      </c>
      <c r="E5" s="92" t="s">
        <v>19</v>
      </c>
      <c r="F5" s="31" t="s">
        <v>21</v>
      </c>
      <c r="G5" s="11">
        <v>0</v>
      </c>
      <c r="H5" s="11">
        <v>0</v>
      </c>
      <c r="I5" s="95">
        <f t="shared" si="0"/>
        <v>0</v>
      </c>
      <c r="J5" s="1"/>
      <c r="K5" s="1"/>
    </row>
    <row r="6" spans="1:11" ht="17.25" thickBot="1">
      <c r="A6" s="91" t="str">
        <f t="shared" si="1"/>
        <v>1.1</v>
      </c>
      <c r="B6" s="32" t="s">
        <v>9</v>
      </c>
      <c r="C6" s="32" t="s">
        <v>22</v>
      </c>
      <c r="D6" s="32" t="s">
        <v>23</v>
      </c>
      <c r="E6" s="92" t="s">
        <v>22</v>
      </c>
      <c r="F6" s="31" t="s">
        <v>24</v>
      </c>
      <c r="G6" s="11">
        <v>0</v>
      </c>
      <c r="H6" s="11">
        <v>0</v>
      </c>
      <c r="I6" s="95">
        <f t="shared" si="0"/>
        <v>0</v>
      </c>
      <c r="J6" s="1"/>
      <c r="K6" s="1"/>
    </row>
    <row r="7" spans="1:11" ht="17.25" thickBot="1">
      <c r="A7" s="91" t="str">
        <f>+LEFT(E7,3)</f>
        <v>1.1</v>
      </c>
      <c r="B7" s="32" t="s">
        <v>9</v>
      </c>
      <c r="C7" s="32" t="s">
        <v>25</v>
      </c>
      <c r="D7" s="32" t="s">
        <v>26</v>
      </c>
      <c r="E7" s="92" t="s">
        <v>25</v>
      </c>
      <c r="F7" s="31" t="s">
        <v>27</v>
      </c>
      <c r="G7" s="154">
        <v>805779802.53999996</v>
      </c>
      <c r="H7" s="5">
        <v>632170019.61000001</v>
      </c>
      <c r="I7" s="144">
        <f t="shared" si="0"/>
        <v>173609782.92999995</v>
      </c>
      <c r="J7" s="1"/>
      <c r="K7" s="1"/>
    </row>
    <row r="8" spans="1:11" ht="17.25" thickBot="1">
      <c r="A8" s="91" t="str">
        <f>+LEFT(E8,3)</f>
        <v>1.1</v>
      </c>
      <c r="B8" s="32" t="s">
        <v>9</v>
      </c>
      <c r="C8" s="32" t="s">
        <v>28</v>
      </c>
      <c r="D8" s="32" t="s">
        <v>29</v>
      </c>
      <c r="E8" s="92" t="s">
        <v>28</v>
      </c>
      <c r="F8" s="33" t="s">
        <v>30</v>
      </c>
      <c r="G8" s="155">
        <v>432981482.44</v>
      </c>
      <c r="H8" s="5">
        <v>432981482.44</v>
      </c>
      <c r="I8" s="144">
        <f t="shared" si="0"/>
        <v>0</v>
      </c>
      <c r="J8" s="1"/>
      <c r="K8" s="1"/>
    </row>
    <row r="9" spans="1:11">
      <c r="A9" s="99" t="str">
        <f>+LEFT(E9,3)</f>
        <v>1.2</v>
      </c>
      <c r="B9" s="100" t="s">
        <v>31</v>
      </c>
      <c r="C9" s="100" t="s">
        <v>32</v>
      </c>
      <c r="D9" s="100" t="s">
        <v>33</v>
      </c>
      <c r="E9" s="15" t="s">
        <v>34</v>
      </c>
      <c r="F9" s="101" t="s">
        <v>35</v>
      </c>
      <c r="G9" s="5">
        <v>0</v>
      </c>
      <c r="H9" s="5">
        <v>0</v>
      </c>
      <c r="I9" s="25">
        <f t="shared" si="0"/>
        <v>0</v>
      </c>
    </row>
    <row r="10" spans="1:11">
      <c r="A10" s="99" t="str">
        <f t="shared" ref="A10:A19" si="2">+LEFT(E10,3)</f>
        <v>1.2</v>
      </c>
      <c r="B10" s="100" t="s">
        <v>31</v>
      </c>
      <c r="C10" s="100" t="s">
        <v>32</v>
      </c>
      <c r="D10" s="100" t="s">
        <v>33</v>
      </c>
      <c r="E10" s="15" t="s">
        <v>36</v>
      </c>
      <c r="F10" s="101" t="s">
        <v>37</v>
      </c>
      <c r="G10" s="5">
        <v>0</v>
      </c>
      <c r="H10" s="5">
        <v>0</v>
      </c>
      <c r="I10" s="25">
        <f t="shared" si="0"/>
        <v>0</v>
      </c>
    </row>
    <row r="11" spans="1:11">
      <c r="A11" s="99" t="str">
        <f t="shared" si="2"/>
        <v>1.2</v>
      </c>
      <c r="B11" s="100" t="s">
        <v>31</v>
      </c>
      <c r="C11" s="100" t="s">
        <v>32</v>
      </c>
      <c r="D11" s="100" t="s">
        <v>33</v>
      </c>
      <c r="E11" s="17" t="s">
        <v>38</v>
      </c>
      <c r="F11" s="102" t="s">
        <v>39</v>
      </c>
      <c r="G11" s="5">
        <v>0</v>
      </c>
      <c r="H11" s="5">
        <v>0</v>
      </c>
      <c r="I11" s="26">
        <f t="shared" si="0"/>
        <v>0</v>
      </c>
    </row>
    <row r="12" spans="1:11">
      <c r="A12" s="99" t="str">
        <f t="shared" si="2"/>
        <v>1.2</v>
      </c>
      <c r="B12" s="100" t="s">
        <v>31</v>
      </c>
      <c r="C12" s="100" t="s">
        <v>40</v>
      </c>
      <c r="D12" s="100" t="s">
        <v>41</v>
      </c>
      <c r="E12" s="15" t="s">
        <v>42</v>
      </c>
      <c r="F12" s="101" t="s">
        <v>35</v>
      </c>
      <c r="G12" s="5">
        <v>0</v>
      </c>
      <c r="H12" s="5">
        <v>0</v>
      </c>
      <c r="I12" s="25">
        <f t="shared" si="0"/>
        <v>0</v>
      </c>
    </row>
    <row r="13" spans="1:11">
      <c r="A13" s="99" t="str">
        <f t="shared" si="2"/>
        <v>1.2</v>
      </c>
      <c r="B13" s="100" t="s">
        <v>31</v>
      </c>
      <c r="C13" s="100" t="s">
        <v>40</v>
      </c>
      <c r="D13" s="100" t="s">
        <v>41</v>
      </c>
      <c r="E13" s="15" t="s">
        <v>43</v>
      </c>
      <c r="F13" s="101" t="s">
        <v>37</v>
      </c>
      <c r="G13" s="5">
        <v>0</v>
      </c>
      <c r="H13" s="5">
        <v>0</v>
      </c>
      <c r="I13" s="25">
        <f t="shared" si="0"/>
        <v>0</v>
      </c>
    </row>
    <row r="14" spans="1:11">
      <c r="A14" s="99" t="str">
        <f t="shared" si="2"/>
        <v>1.2</v>
      </c>
      <c r="B14" s="100" t="s">
        <v>31</v>
      </c>
      <c r="C14" s="100" t="s">
        <v>40</v>
      </c>
      <c r="D14" s="100" t="s">
        <v>41</v>
      </c>
      <c r="E14" s="17" t="s">
        <v>44</v>
      </c>
      <c r="F14" s="102" t="s">
        <v>39</v>
      </c>
      <c r="G14" s="5">
        <v>0</v>
      </c>
      <c r="H14" s="5">
        <v>0</v>
      </c>
      <c r="I14" s="26">
        <f t="shared" si="0"/>
        <v>0</v>
      </c>
    </row>
    <row r="15" spans="1:11">
      <c r="A15" s="150" t="str">
        <f t="shared" si="2"/>
        <v>1.2</v>
      </c>
      <c r="B15" s="100" t="s">
        <v>31</v>
      </c>
      <c r="C15" s="100" t="s">
        <v>45</v>
      </c>
      <c r="D15" s="100" t="s">
        <v>41</v>
      </c>
      <c r="E15" s="34" t="s">
        <v>45</v>
      </c>
      <c r="F15" s="103" t="s">
        <v>46</v>
      </c>
      <c r="G15" s="5">
        <v>0</v>
      </c>
      <c r="H15" s="5">
        <v>0</v>
      </c>
      <c r="I15" s="95">
        <f t="shared" si="0"/>
        <v>0</v>
      </c>
    </row>
    <row r="16" spans="1:11">
      <c r="A16" s="99" t="str">
        <f t="shared" si="2"/>
        <v>1.2</v>
      </c>
      <c r="B16" s="100" t="s">
        <v>31</v>
      </c>
      <c r="C16" s="100" t="s">
        <v>47</v>
      </c>
      <c r="D16" s="100" t="s">
        <v>48</v>
      </c>
      <c r="E16" s="15" t="s">
        <v>49</v>
      </c>
      <c r="F16" s="101" t="s">
        <v>50</v>
      </c>
      <c r="G16" s="5">
        <v>0</v>
      </c>
      <c r="H16" s="5">
        <v>0</v>
      </c>
      <c r="I16" s="25">
        <f t="shared" si="0"/>
        <v>0</v>
      </c>
    </row>
    <row r="17" spans="1:9">
      <c r="A17" s="99" t="str">
        <f t="shared" si="2"/>
        <v>1.2</v>
      </c>
      <c r="B17" s="100" t="s">
        <v>31</v>
      </c>
      <c r="C17" s="100" t="s">
        <v>47</v>
      </c>
      <c r="D17" s="100" t="s">
        <v>48</v>
      </c>
      <c r="E17" s="15" t="s">
        <v>51</v>
      </c>
      <c r="F17" s="101" t="s">
        <v>52</v>
      </c>
      <c r="G17" s="5">
        <v>0</v>
      </c>
      <c r="H17" s="5">
        <v>0</v>
      </c>
      <c r="I17" s="25">
        <f t="shared" si="0"/>
        <v>0</v>
      </c>
    </row>
    <row r="18" spans="1:9">
      <c r="A18" s="99" t="str">
        <f t="shared" si="2"/>
        <v>1.2</v>
      </c>
      <c r="B18" s="100" t="s">
        <v>31</v>
      </c>
      <c r="C18" s="100" t="s">
        <v>53</v>
      </c>
      <c r="D18" s="100" t="s">
        <v>54</v>
      </c>
      <c r="E18" s="15" t="s">
        <v>55</v>
      </c>
      <c r="F18" s="101" t="s">
        <v>56</v>
      </c>
      <c r="G18" s="5">
        <v>0</v>
      </c>
      <c r="H18" s="5">
        <v>0</v>
      </c>
      <c r="I18" s="25">
        <f t="shared" si="0"/>
        <v>0</v>
      </c>
    </row>
    <row r="19" spans="1:9">
      <c r="A19" s="99" t="str">
        <f t="shared" si="2"/>
        <v>1.2</v>
      </c>
      <c r="B19" s="100" t="s">
        <v>31</v>
      </c>
      <c r="C19" s="100" t="s">
        <v>53</v>
      </c>
      <c r="D19" s="100" t="s">
        <v>54</v>
      </c>
      <c r="E19" s="19" t="s">
        <v>57</v>
      </c>
      <c r="F19" s="104" t="s">
        <v>58</v>
      </c>
      <c r="G19" s="5">
        <v>0</v>
      </c>
      <c r="H19" s="5">
        <v>0</v>
      </c>
      <c r="I19" s="27">
        <f t="shared" si="0"/>
        <v>0</v>
      </c>
    </row>
    <row r="20" spans="1:9">
      <c r="A20" s="99" t="str">
        <f t="shared" ref="A20:A35" si="3">+LEFT(E20,3)</f>
        <v>1.3</v>
      </c>
      <c r="B20" s="32" t="s">
        <v>59</v>
      </c>
      <c r="C20" s="100" t="s">
        <v>60</v>
      </c>
      <c r="D20" s="100" t="s">
        <v>61</v>
      </c>
      <c r="E20" s="15" t="s">
        <v>62</v>
      </c>
      <c r="F20" s="101" t="s">
        <v>63</v>
      </c>
      <c r="G20" s="5">
        <v>5331427160.6499996</v>
      </c>
      <c r="H20" s="5">
        <v>1500212443.8499999</v>
      </c>
      <c r="I20" s="25">
        <f t="shared" si="0"/>
        <v>3831214716.7999997</v>
      </c>
    </row>
    <row r="21" spans="1:9">
      <c r="A21" s="99" t="str">
        <f t="shared" si="3"/>
        <v>1.3</v>
      </c>
      <c r="B21" s="32" t="s">
        <v>59</v>
      </c>
      <c r="C21" s="100" t="s">
        <v>60</v>
      </c>
      <c r="D21" s="100" t="s">
        <v>61</v>
      </c>
      <c r="E21" s="15" t="s">
        <v>64</v>
      </c>
      <c r="F21" s="101" t="s">
        <v>65</v>
      </c>
      <c r="G21" s="5">
        <v>0</v>
      </c>
      <c r="H21" s="5">
        <v>0</v>
      </c>
      <c r="I21" s="25">
        <f t="shared" si="0"/>
        <v>0</v>
      </c>
    </row>
    <row r="22" spans="1:9">
      <c r="A22" s="99" t="str">
        <f t="shared" si="3"/>
        <v>1.3</v>
      </c>
      <c r="B22" s="32" t="s">
        <v>59</v>
      </c>
      <c r="C22" s="100" t="s">
        <v>60</v>
      </c>
      <c r="D22" s="100" t="s">
        <v>61</v>
      </c>
      <c r="E22" s="17" t="s">
        <v>66</v>
      </c>
      <c r="F22" s="102" t="s">
        <v>39</v>
      </c>
      <c r="G22" s="5">
        <v>0</v>
      </c>
      <c r="H22" s="5">
        <v>0</v>
      </c>
      <c r="I22" s="26">
        <f t="shared" si="0"/>
        <v>0</v>
      </c>
    </row>
    <row r="23" spans="1:9">
      <c r="A23" s="99" t="str">
        <f t="shared" si="3"/>
        <v>1.3</v>
      </c>
      <c r="B23" s="32" t="s">
        <v>59</v>
      </c>
      <c r="C23" s="100" t="s">
        <v>67</v>
      </c>
      <c r="D23" s="100" t="s">
        <v>68</v>
      </c>
      <c r="E23" s="15" t="s">
        <v>69</v>
      </c>
      <c r="F23" s="101" t="s">
        <v>63</v>
      </c>
      <c r="G23" s="5">
        <v>0</v>
      </c>
      <c r="H23" s="5">
        <v>0</v>
      </c>
      <c r="I23" s="25">
        <f t="shared" si="0"/>
        <v>0</v>
      </c>
    </row>
    <row r="24" spans="1:9">
      <c r="A24" s="99" t="str">
        <f t="shared" si="3"/>
        <v>1.3</v>
      </c>
      <c r="B24" s="32" t="s">
        <v>59</v>
      </c>
      <c r="C24" s="100" t="s">
        <v>67</v>
      </c>
      <c r="D24" s="100" t="s">
        <v>68</v>
      </c>
      <c r="E24" s="15" t="s">
        <v>70</v>
      </c>
      <c r="F24" s="101" t="s">
        <v>65</v>
      </c>
      <c r="G24" s="5">
        <v>0</v>
      </c>
      <c r="H24" s="5">
        <v>0</v>
      </c>
      <c r="I24" s="25">
        <f t="shared" si="0"/>
        <v>0</v>
      </c>
    </row>
    <row r="25" spans="1:9">
      <c r="A25" s="99" t="str">
        <f t="shared" si="3"/>
        <v>1.3</v>
      </c>
      <c r="B25" s="32" t="s">
        <v>59</v>
      </c>
      <c r="C25" s="100" t="s">
        <v>67</v>
      </c>
      <c r="D25" s="100" t="s">
        <v>68</v>
      </c>
      <c r="E25" s="15" t="s">
        <v>71</v>
      </c>
      <c r="F25" s="101" t="s">
        <v>72</v>
      </c>
      <c r="G25" s="5">
        <v>0</v>
      </c>
      <c r="H25" s="5">
        <v>0</v>
      </c>
      <c r="I25" s="25">
        <f t="shared" si="0"/>
        <v>0</v>
      </c>
    </row>
    <row r="26" spans="1:9">
      <c r="A26" s="99" t="str">
        <f t="shared" si="3"/>
        <v>1.3</v>
      </c>
      <c r="B26" s="32" t="s">
        <v>59</v>
      </c>
      <c r="C26" s="100" t="s">
        <v>67</v>
      </c>
      <c r="D26" s="100" t="s">
        <v>68</v>
      </c>
      <c r="E26" s="17" t="s">
        <v>73</v>
      </c>
      <c r="F26" s="102" t="s">
        <v>74</v>
      </c>
      <c r="G26" s="5">
        <v>0</v>
      </c>
      <c r="H26" s="5">
        <v>0</v>
      </c>
      <c r="I26" s="26">
        <f t="shared" si="0"/>
        <v>0</v>
      </c>
    </row>
    <row r="27" spans="1:9">
      <c r="A27" s="99" t="str">
        <f t="shared" si="3"/>
        <v>1.3</v>
      </c>
      <c r="B27" s="100" t="s">
        <v>59</v>
      </c>
      <c r="C27" s="100" t="s">
        <v>75</v>
      </c>
      <c r="D27" s="100" t="s">
        <v>76</v>
      </c>
      <c r="E27" s="15" t="s">
        <v>77</v>
      </c>
      <c r="F27" s="101" t="s">
        <v>72</v>
      </c>
      <c r="G27" s="5">
        <v>0</v>
      </c>
      <c r="H27" s="5">
        <v>0</v>
      </c>
      <c r="I27" s="25">
        <f t="shared" si="0"/>
        <v>0</v>
      </c>
    </row>
    <row r="28" spans="1:9">
      <c r="A28" s="99" t="str">
        <f t="shared" si="3"/>
        <v>1.3</v>
      </c>
      <c r="B28" s="100" t="s">
        <v>59</v>
      </c>
      <c r="C28" s="100" t="s">
        <v>75</v>
      </c>
      <c r="D28" s="100" t="s">
        <v>76</v>
      </c>
      <c r="E28" s="15" t="s">
        <v>78</v>
      </c>
      <c r="F28" s="101" t="s">
        <v>79</v>
      </c>
      <c r="G28" s="5">
        <v>0</v>
      </c>
      <c r="H28" s="5">
        <v>0</v>
      </c>
      <c r="I28" s="25">
        <f t="shared" si="0"/>
        <v>0</v>
      </c>
    </row>
    <row r="29" spans="1:9">
      <c r="A29" s="99" t="str">
        <f t="shared" si="3"/>
        <v>1.3</v>
      </c>
      <c r="B29" s="100" t="s">
        <v>59</v>
      </c>
      <c r="C29" s="100" t="s">
        <v>75</v>
      </c>
      <c r="D29" s="100" t="s">
        <v>76</v>
      </c>
      <c r="E29" s="15" t="s">
        <v>80</v>
      </c>
      <c r="F29" s="101" t="s">
        <v>81</v>
      </c>
      <c r="G29" s="5">
        <v>0</v>
      </c>
      <c r="H29" s="5">
        <v>0</v>
      </c>
      <c r="I29" s="25">
        <f t="shared" si="0"/>
        <v>0</v>
      </c>
    </row>
    <row r="30" spans="1:9">
      <c r="A30" s="99" t="str">
        <f t="shared" si="3"/>
        <v>1.3</v>
      </c>
      <c r="B30" s="100" t="s">
        <v>59</v>
      </c>
      <c r="C30" s="100" t="s">
        <v>75</v>
      </c>
      <c r="D30" s="100" t="s">
        <v>76</v>
      </c>
      <c r="E30" s="17" t="s">
        <v>82</v>
      </c>
      <c r="F30" s="102" t="s">
        <v>83</v>
      </c>
      <c r="G30" s="5">
        <v>0</v>
      </c>
      <c r="H30" s="5">
        <v>0</v>
      </c>
      <c r="I30" s="26">
        <f t="shared" si="0"/>
        <v>0</v>
      </c>
    </row>
    <row r="31" spans="1:9">
      <c r="A31" s="99" t="str">
        <f t="shared" si="3"/>
        <v>1.3</v>
      </c>
      <c r="B31" s="100" t="s">
        <v>59</v>
      </c>
      <c r="C31" s="100" t="s">
        <v>84</v>
      </c>
      <c r="D31" s="100" t="s">
        <v>85</v>
      </c>
      <c r="E31" s="15" t="s">
        <v>86</v>
      </c>
      <c r="F31" s="101" t="s">
        <v>87</v>
      </c>
      <c r="G31" s="5">
        <v>0</v>
      </c>
      <c r="H31" s="5">
        <v>0</v>
      </c>
      <c r="I31" s="25">
        <f t="shared" si="0"/>
        <v>0</v>
      </c>
    </row>
    <row r="32" spans="1:9">
      <c r="A32" s="99" t="str">
        <f t="shared" si="3"/>
        <v>1.3</v>
      </c>
      <c r="B32" s="100" t="s">
        <v>59</v>
      </c>
      <c r="C32" s="100" t="s">
        <v>84</v>
      </c>
      <c r="D32" s="100" t="s">
        <v>85</v>
      </c>
      <c r="E32" s="17" t="s">
        <v>88</v>
      </c>
      <c r="F32" s="102" t="s">
        <v>89</v>
      </c>
      <c r="G32" s="5">
        <v>0</v>
      </c>
      <c r="H32" s="5">
        <v>0</v>
      </c>
      <c r="I32" s="26">
        <f t="shared" si="0"/>
        <v>0</v>
      </c>
    </row>
    <row r="33" spans="1:9">
      <c r="A33" s="99" t="str">
        <f t="shared" si="3"/>
        <v>1.3</v>
      </c>
      <c r="B33" s="100" t="s">
        <v>59</v>
      </c>
      <c r="C33" s="100" t="s">
        <v>90</v>
      </c>
      <c r="D33" s="100" t="s">
        <v>91</v>
      </c>
      <c r="E33" s="15" t="s">
        <v>92</v>
      </c>
      <c r="F33" s="101" t="s">
        <v>93</v>
      </c>
      <c r="G33" s="5">
        <v>0</v>
      </c>
      <c r="H33" s="5">
        <v>0</v>
      </c>
      <c r="I33" s="25">
        <f t="shared" si="0"/>
        <v>0</v>
      </c>
    </row>
    <row r="34" spans="1:9">
      <c r="A34" s="99" t="str">
        <f t="shared" si="3"/>
        <v>1.3</v>
      </c>
      <c r="B34" s="100" t="s">
        <v>59</v>
      </c>
      <c r="C34" s="100" t="s">
        <v>90</v>
      </c>
      <c r="D34" s="100" t="s">
        <v>91</v>
      </c>
      <c r="E34" s="17" t="s">
        <v>94</v>
      </c>
      <c r="F34" s="102" t="s">
        <v>95</v>
      </c>
      <c r="G34" s="5">
        <v>0</v>
      </c>
      <c r="H34" s="5">
        <v>0</v>
      </c>
      <c r="I34" s="26">
        <f t="shared" si="0"/>
        <v>0</v>
      </c>
    </row>
    <row r="35" spans="1:9">
      <c r="A35" s="151" t="str">
        <f t="shared" si="3"/>
        <v>1.3</v>
      </c>
      <c r="B35" s="100" t="s">
        <v>59</v>
      </c>
      <c r="C35" s="100" t="s">
        <v>96</v>
      </c>
      <c r="D35" s="100" t="s">
        <v>97</v>
      </c>
      <c r="E35" s="105" t="s">
        <v>96</v>
      </c>
      <c r="F35" s="106" t="s">
        <v>98</v>
      </c>
      <c r="G35" s="5">
        <v>0</v>
      </c>
      <c r="H35" s="5">
        <v>0</v>
      </c>
      <c r="I35" s="95">
        <f t="shared" si="0"/>
        <v>0</v>
      </c>
    </row>
    <row r="36" spans="1:9">
      <c r="A36" s="99" t="str">
        <f t="shared" ref="A36:A42" si="4">+LEFT(E36,3)</f>
        <v>1.3</v>
      </c>
      <c r="B36" s="100" t="s">
        <v>59</v>
      </c>
      <c r="C36" s="100" t="s">
        <v>99</v>
      </c>
      <c r="D36" s="100" t="s">
        <v>100</v>
      </c>
      <c r="E36" s="108" t="s">
        <v>101</v>
      </c>
      <c r="F36" s="36" t="s">
        <v>72</v>
      </c>
      <c r="G36" s="5">
        <v>0</v>
      </c>
      <c r="H36" s="5">
        <v>0</v>
      </c>
      <c r="I36" s="109">
        <f t="shared" si="0"/>
        <v>0</v>
      </c>
    </row>
    <row r="37" spans="1:9">
      <c r="A37" s="99" t="str">
        <f t="shared" si="4"/>
        <v>1.3</v>
      </c>
      <c r="B37" s="100" t="s">
        <v>59</v>
      </c>
      <c r="C37" s="100" t="s">
        <v>99</v>
      </c>
      <c r="D37" s="100" t="s">
        <v>100</v>
      </c>
      <c r="E37" s="108" t="s">
        <v>102</v>
      </c>
      <c r="F37" s="36" t="s">
        <v>103</v>
      </c>
      <c r="G37" s="5">
        <v>0</v>
      </c>
      <c r="H37" s="5">
        <v>0</v>
      </c>
      <c r="I37" s="109">
        <f t="shared" si="0"/>
        <v>0</v>
      </c>
    </row>
    <row r="38" spans="1:9">
      <c r="A38" s="99" t="str">
        <f t="shared" si="4"/>
        <v>1.3</v>
      </c>
      <c r="B38" s="100" t="s">
        <v>59</v>
      </c>
      <c r="C38" s="100" t="s">
        <v>99</v>
      </c>
      <c r="D38" s="100" t="s">
        <v>100</v>
      </c>
      <c r="E38" s="110" t="s">
        <v>104</v>
      </c>
      <c r="F38" s="37" t="s">
        <v>105</v>
      </c>
      <c r="G38" s="5">
        <v>0</v>
      </c>
      <c r="H38" s="5">
        <v>0</v>
      </c>
      <c r="I38" s="111">
        <f t="shared" si="0"/>
        <v>0</v>
      </c>
    </row>
    <row r="39" spans="1:9">
      <c r="A39" s="99" t="str">
        <f t="shared" si="4"/>
        <v>1.3</v>
      </c>
      <c r="B39" s="100" t="s">
        <v>59</v>
      </c>
      <c r="C39" s="100" t="s">
        <v>99</v>
      </c>
      <c r="D39" s="100" t="s">
        <v>100</v>
      </c>
      <c r="E39" s="108" t="s">
        <v>106</v>
      </c>
      <c r="F39" s="36" t="s">
        <v>72</v>
      </c>
      <c r="G39" s="5">
        <v>0</v>
      </c>
      <c r="H39" s="5">
        <v>0</v>
      </c>
      <c r="I39" s="109">
        <f t="shared" si="0"/>
        <v>0</v>
      </c>
    </row>
    <row r="40" spans="1:9">
      <c r="A40" s="99" t="str">
        <f t="shared" si="4"/>
        <v>1.3</v>
      </c>
      <c r="B40" s="100" t="s">
        <v>59</v>
      </c>
      <c r="C40" s="100" t="s">
        <v>99</v>
      </c>
      <c r="D40" s="100" t="s">
        <v>100</v>
      </c>
      <c r="E40" s="108" t="s">
        <v>107</v>
      </c>
      <c r="F40" s="36" t="s">
        <v>103</v>
      </c>
      <c r="G40" s="5">
        <v>0</v>
      </c>
      <c r="H40" s="5">
        <v>0</v>
      </c>
      <c r="I40" s="109">
        <f t="shared" si="0"/>
        <v>0</v>
      </c>
    </row>
    <row r="41" spans="1:9">
      <c r="A41" s="99" t="str">
        <f t="shared" si="4"/>
        <v>1.3</v>
      </c>
      <c r="B41" s="100" t="s">
        <v>59</v>
      </c>
      <c r="C41" s="100" t="s">
        <v>99</v>
      </c>
      <c r="D41" s="100" t="s">
        <v>100</v>
      </c>
      <c r="E41" s="112" t="s">
        <v>108</v>
      </c>
      <c r="F41" s="38" t="s">
        <v>105</v>
      </c>
      <c r="G41" s="5">
        <v>0</v>
      </c>
      <c r="H41" s="5">
        <v>0</v>
      </c>
      <c r="I41" s="113">
        <f t="shared" si="0"/>
        <v>0</v>
      </c>
    </row>
    <row r="42" spans="1:9" s="118" customFormat="1">
      <c r="A42" s="99" t="str">
        <f t="shared" si="4"/>
        <v>1.3</v>
      </c>
      <c r="B42" s="100" t="s">
        <v>59</v>
      </c>
      <c r="C42" s="114" t="s">
        <v>109</v>
      </c>
      <c r="D42" s="153" t="s">
        <v>110</v>
      </c>
      <c r="E42" s="116" t="s">
        <v>109</v>
      </c>
      <c r="F42" s="115" t="s">
        <v>110</v>
      </c>
      <c r="G42" s="5">
        <v>0</v>
      </c>
      <c r="H42" s="5">
        <v>0</v>
      </c>
      <c r="I42" s="117">
        <f t="shared" si="0"/>
        <v>0</v>
      </c>
    </row>
    <row r="43" spans="1:9">
      <c r="A43" s="99" t="str">
        <f t="shared" ref="A43:A64" si="5">+LEFT(E43,3)</f>
        <v>1.3</v>
      </c>
      <c r="B43" s="100" t="s">
        <v>59</v>
      </c>
      <c r="C43" s="100" t="s">
        <v>111</v>
      </c>
      <c r="D43" s="100" t="s">
        <v>112</v>
      </c>
      <c r="E43" s="108" t="s">
        <v>113</v>
      </c>
      <c r="F43" s="36" t="s">
        <v>63</v>
      </c>
      <c r="G43" s="5">
        <v>0</v>
      </c>
      <c r="H43" s="5">
        <v>0</v>
      </c>
      <c r="I43" s="109">
        <f t="shared" si="0"/>
        <v>0</v>
      </c>
    </row>
    <row r="44" spans="1:9">
      <c r="A44" s="99" t="str">
        <f t="shared" si="5"/>
        <v>1.3</v>
      </c>
      <c r="B44" s="100" t="s">
        <v>59</v>
      </c>
      <c r="C44" s="100" t="s">
        <v>111</v>
      </c>
      <c r="D44" s="100" t="s">
        <v>112</v>
      </c>
      <c r="E44" s="108" t="s">
        <v>114</v>
      </c>
      <c r="F44" s="36" t="s">
        <v>65</v>
      </c>
      <c r="G44" s="5">
        <v>0</v>
      </c>
      <c r="H44" s="5">
        <v>0</v>
      </c>
      <c r="I44" s="109">
        <f t="shared" si="0"/>
        <v>0</v>
      </c>
    </row>
    <row r="45" spans="1:9">
      <c r="A45" s="99" t="str">
        <f t="shared" si="5"/>
        <v>1.3</v>
      </c>
      <c r="B45" s="100" t="s">
        <v>59</v>
      </c>
      <c r="C45" s="100" t="s">
        <v>111</v>
      </c>
      <c r="D45" s="100" t="s">
        <v>112</v>
      </c>
      <c r="E45" s="110" t="s">
        <v>115</v>
      </c>
      <c r="F45" s="37" t="s">
        <v>39</v>
      </c>
      <c r="G45" s="5">
        <v>0</v>
      </c>
      <c r="H45" s="5">
        <v>0</v>
      </c>
      <c r="I45" s="111">
        <f t="shared" si="0"/>
        <v>0</v>
      </c>
    </row>
    <row r="46" spans="1:9">
      <c r="A46" s="99" t="str">
        <f t="shared" si="5"/>
        <v>1.3</v>
      </c>
      <c r="B46" s="100" t="s">
        <v>59</v>
      </c>
      <c r="C46" s="100" t="s">
        <v>111</v>
      </c>
      <c r="D46" s="100" t="s">
        <v>112</v>
      </c>
      <c r="E46" s="108" t="s">
        <v>116</v>
      </c>
      <c r="F46" s="36" t="s">
        <v>63</v>
      </c>
      <c r="G46" s="5">
        <v>0</v>
      </c>
      <c r="H46" s="5">
        <v>0</v>
      </c>
      <c r="I46" s="109">
        <f t="shared" si="0"/>
        <v>0</v>
      </c>
    </row>
    <row r="47" spans="1:9">
      <c r="A47" s="99" t="str">
        <f t="shared" si="5"/>
        <v>1.3</v>
      </c>
      <c r="B47" s="100" t="s">
        <v>59</v>
      </c>
      <c r="C47" s="100" t="s">
        <v>111</v>
      </c>
      <c r="D47" s="100" t="s">
        <v>112</v>
      </c>
      <c r="E47" s="108" t="s">
        <v>117</v>
      </c>
      <c r="F47" s="36" t="s">
        <v>65</v>
      </c>
      <c r="G47" s="5">
        <v>0</v>
      </c>
      <c r="H47" s="5">
        <v>0</v>
      </c>
      <c r="I47" s="109">
        <f t="shared" si="0"/>
        <v>0</v>
      </c>
    </row>
    <row r="48" spans="1:9">
      <c r="A48" s="99" t="str">
        <f t="shared" si="5"/>
        <v>1.3</v>
      </c>
      <c r="B48" s="100" t="s">
        <v>59</v>
      </c>
      <c r="C48" s="100" t="s">
        <v>111</v>
      </c>
      <c r="D48" s="100" t="s">
        <v>112</v>
      </c>
      <c r="E48" s="108" t="s">
        <v>118</v>
      </c>
      <c r="F48" s="36" t="s">
        <v>39</v>
      </c>
      <c r="G48" s="5">
        <v>0</v>
      </c>
      <c r="H48" s="5">
        <v>0</v>
      </c>
      <c r="I48" s="109">
        <f t="shared" si="0"/>
        <v>0</v>
      </c>
    </row>
    <row r="49" spans="1:9">
      <c r="A49" s="99" t="str">
        <f t="shared" si="5"/>
        <v>1.3</v>
      </c>
      <c r="B49" s="100" t="s">
        <v>59</v>
      </c>
      <c r="C49" s="100" t="s">
        <v>111</v>
      </c>
      <c r="D49" s="100" t="s">
        <v>112</v>
      </c>
      <c r="E49" s="108" t="s">
        <v>119</v>
      </c>
      <c r="F49" s="36" t="s">
        <v>63</v>
      </c>
      <c r="G49" s="5">
        <v>0</v>
      </c>
      <c r="H49" s="5">
        <v>0</v>
      </c>
      <c r="I49" s="109">
        <f t="shared" ref="I49:I94" si="6">G49-H49</f>
        <v>0</v>
      </c>
    </row>
    <row r="50" spans="1:9">
      <c r="A50" s="99" t="str">
        <f t="shared" si="5"/>
        <v>1.3</v>
      </c>
      <c r="B50" s="100" t="s">
        <v>59</v>
      </c>
      <c r="C50" s="100" t="s">
        <v>111</v>
      </c>
      <c r="D50" s="100" t="s">
        <v>112</v>
      </c>
      <c r="E50" s="108" t="s">
        <v>120</v>
      </c>
      <c r="F50" s="36" t="s">
        <v>65</v>
      </c>
      <c r="G50" s="5">
        <v>0</v>
      </c>
      <c r="H50" s="5">
        <v>0</v>
      </c>
      <c r="I50" s="109">
        <f t="shared" si="6"/>
        <v>0</v>
      </c>
    </row>
    <row r="51" spans="1:9">
      <c r="A51" s="99" t="str">
        <f t="shared" si="5"/>
        <v>1.3</v>
      </c>
      <c r="B51" s="100" t="s">
        <v>59</v>
      </c>
      <c r="C51" s="100" t="s">
        <v>111</v>
      </c>
      <c r="D51" s="100" t="s">
        <v>112</v>
      </c>
      <c r="E51" s="108" t="s">
        <v>121</v>
      </c>
      <c r="F51" s="36" t="s">
        <v>39</v>
      </c>
      <c r="G51" s="5">
        <v>0</v>
      </c>
      <c r="H51" s="5">
        <v>0</v>
      </c>
      <c r="I51" s="109">
        <f t="shared" si="6"/>
        <v>0</v>
      </c>
    </row>
    <row r="52" spans="1:9">
      <c r="A52" s="99" t="str">
        <f t="shared" si="5"/>
        <v>1.3</v>
      </c>
      <c r="B52" s="100" t="s">
        <v>59</v>
      </c>
      <c r="C52" s="100" t="s">
        <v>111</v>
      </c>
      <c r="D52" s="100" t="s">
        <v>112</v>
      </c>
      <c r="E52" s="108" t="s">
        <v>122</v>
      </c>
      <c r="F52" s="36" t="s">
        <v>123</v>
      </c>
      <c r="G52" s="5">
        <v>0</v>
      </c>
      <c r="H52" s="5">
        <v>0</v>
      </c>
      <c r="I52" s="109">
        <f t="shared" si="6"/>
        <v>0</v>
      </c>
    </row>
    <row r="53" spans="1:9">
      <c r="A53" s="99" t="str">
        <f t="shared" si="5"/>
        <v>1.3</v>
      </c>
      <c r="B53" s="100" t="s">
        <v>59</v>
      </c>
      <c r="C53" s="100" t="s">
        <v>111</v>
      </c>
      <c r="D53" s="100" t="s">
        <v>112</v>
      </c>
      <c r="E53" s="108" t="s">
        <v>124</v>
      </c>
      <c r="F53" s="36" t="s">
        <v>63</v>
      </c>
      <c r="G53" s="5">
        <v>0</v>
      </c>
      <c r="H53" s="5">
        <v>0</v>
      </c>
      <c r="I53" s="109">
        <f t="shared" si="6"/>
        <v>0</v>
      </c>
    </row>
    <row r="54" spans="1:9">
      <c r="A54" s="99" t="str">
        <f t="shared" si="5"/>
        <v>1.3</v>
      </c>
      <c r="B54" s="100" t="s">
        <v>59</v>
      </c>
      <c r="C54" s="100" t="s">
        <v>111</v>
      </c>
      <c r="D54" s="100" t="s">
        <v>112</v>
      </c>
      <c r="E54" s="108" t="s">
        <v>125</v>
      </c>
      <c r="F54" s="36" t="s">
        <v>65</v>
      </c>
      <c r="G54" s="5">
        <v>0</v>
      </c>
      <c r="H54" s="5">
        <v>0</v>
      </c>
      <c r="I54" s="109">
        <f t="shared" si="6"/>
        <v>0</v>
      </c>
    </row>
    <row r="55" spans="1:9">
      <c r="A55" s="99" t="str">
        <f t="shared" si="5"/>
        <v>1.3</v>
      </c>
      <c r="B55" s="100" t="s">
        <v>59</v>
      </c>
      <c r="C55" s="100" t="s">
        <v>111</v>
      </c>
      <c r="D55" s="100" t="s">
        <v>112</v>
      </c>
      <c r="E55" s="108" t="s">
        <v>126</v>
      </c>
      <c r="F55" s="36" t="s">
        <v>127</v>
      </c>
      <c r="G55" s="5">
        <v>0</v>
      </c>
      <c r="H55" s="5">
        <v>0</v>
      </c>
      <c r="I55" s="109">
        <f t="shared" si="6"/>
        <v>0</v>
      </c>
    </row>
    <row r="56" spans="1:9">
      <c r="A56" s="99" t="str">
        <f t="shared" si="5"/>
        <v>1.3</v>
      </c>
      <c r="B56" s="100" t="s">
        <v>59</v>
      </c>
      <c r="C56" s="100" t="s">
        <v>111</v>
      </c>
      <c r="D56" s="100" t="s">
        <v>112</v>
      </c>
      <c r="E56" s="108" t="s">
        <v>128</v>
      </c>
      <c r="F56" s="36" t="s">
        <v>63</v>
      </c>
      <c r="G56" s="5">
        <v>0</v>
      </c>
      <c r="H56" s="5">
        <v>0</v>
      </c>
      <c r="I56" s="109">
        <f t="shared" si="6"/>
        <v>0</v>
      </c>
    </row>
    <row r="57" spans="1:9">
      <c r="A57" s="99" t="str">
        <f t="shared" si="5"/>
        <v>1.3</v>
      </c>
      <c r="B57" s="100" t="s">
        <v>59</v>
      </c>
      <c r="C57" s="100" t="s">
        <v>111</v>
      </c>
      <c r="D57" s="100" t="s">
        <v>112</v>
      </c>
      <c r="E57" s="108" t="s">
        <v>129</v>
      </c>
      <c r="F57" s="36" t="s">
        <v>65</v>
      </c>
      <c r="G57" s="5">
        <v>0</v>
      </c>
      <c r="H57" s="5">
        <v>0</v>
      </c>
      <c r="I57" s="109">
        <f t="shared" si="6"/>
        <v>0</v>
      </c>
    </row>
    <row r="58" spans="1:9">
      <c r="A58" s="99" t="str">
        <f t="shared" si="5"/>
        <v>1.3</v>
      </c>
      <c r="B58" s="100" t="s">
        <v>59</v>
      </c>
      <c r="C58" s="100" t="s">
        <v>111</v>
      </c>
      <c r="D58" s="100" t="s">
        <v>112</v>
      </c>
      <c r="E58" s="119" t="s">
        <v>130</v>
      </c>
      <c r="F58" s="120" t="s">
        <v>131</v>
      </c>
      <c r="G58" s="5">
        <v>0</v>
      </c>
      <c r="H58" s="5">
        <v>0</v>
      </c>
      <c r="I58" s="121">
        <f t="shared" si="6"/>
        <v>0</v>
      </c>
    </row>
    <row r="59" spans="1:9">
      <c r="A59" s="91" t="str">
        <f t="shared" si="5"/>
        <v>1.4</v>
      </c>
      <c r="B59" s="100" t="s">
        <v>132</v>
      </c>
      <c r="C59" s="100" t="s">
        <v>133</v>
      </c>
      <c r="D59" s="100" t="s">
        <v>134</v>
      </c>
      <c r="E59" s="21" t="s">
        <v>133</v>
      </c>
      <c r="F59" s="122" t="s">
        <v>72</v>
      </c>
      <c r="G59" s="11">
        <v>32500000</v>
      </c>
      <c r="H59" s="11">
        <v>0</v>
      </c>
      <c r="I59" s="30">
        <f t="shared" si="6"/>
        <v>32500000</v>
      </c>
    </row>
    <row r="60" spans="1:9">
      <c r="A60" s="91" t="str">
        <f t="shared" si="5"/>
        <v>1.4</v>
      </c>
      <c r="B60" s="100" t="s">
        <v>132</v>
      </c>
      <c r="C60" s="100" t="s">
        <v>135</v>
      </c>
      <c r="D60" s="100" t="s">
        <v>136</v>
      </c>
      <c r="E60" s="21" t="s">
        <v>135</v>
      </c>
      <c r="F60" s="122" t="s">
        <v>137</v>
      </c>
      <c r="G60" s="11">
        <v>0</v>
      </c>
      <c r="H60" s="11">
        <v>0</v>
      </c>
      <c r="I60" s="30">
        <f t="shared" si="6"/>
        <v>0</v>
      </c>
    </row>
    <row r="61" spans="1:9">
      <c r="A61" s="99" t="str">
        <f t="shared" si="5"/>
        <v>1.4</v>
      </c>
      <c r="B61" s="100" t="s">
        <v>132</v>
      </c>
      <c r="C61" s="100" t="s">
        <v>138</v>
      </c>
      <c r="D61" s="100" t="s">
        <v>139</v>
      </c>
      <c r="E61" s="35" t="s">
        <v>140</v>
      </c>
      <c r="F61" s="123" t="s">
        <v>141</v>
      </c>
      <c r="G61" s="11">
        <v>0</v>
      </c>
      <c r="H61" s="11">
        <v>0</v>
      </c>
      <c r="I61" s="28">
        <f t="shared" si="6"/>
        <v>0</v>
      </c>
    </row>
    <row r="62" spans="1:9">
      <c r="A62" s="107" t="str">
        <f t="shared" si="5"/>
        <v>1.4</v>
      </c>
      <c r="B62" s="100" t="s">
        <v>132</v>
      </c>
      <c r="C62" s="100" t="s">
        <v>138</v>
      </c>
      <c r="D62" s="100" t="s">
        <v>139</v>
      </c>
      <c r="E62" s="108" t="s">
        <v>142</v>
      </c>
      <c r="F62" s="36" t="s">
        <v>103</v>
      </c>
      <c r="G62" s="11">
        <v>0</v>
      </c>
      <c r="H62" s="11">
        <v>0</v>
      </c>
      <c r="I62" s="109">
        <f t="shared" si="6"/>
        <v>0</v>
      </c>
    </row>
    <row r="63" spans="1:9">
      <c r="A63" s="107" t="str">
        <f t="shared" si="5"/>
        <v>1.4</v>
      </c>
      <c r="B63" s="100" t="s">
        <v>132</v>
      </c>
      <c r="C63" s="100" t="s">
        <v>138</v>
      </c>
      <c r="D63" s="100" t="s">
        <v>139</v>
      </c>
      <c r="E63" s="110" t="s">
        <v>143</v>
      </c>
      <c r="F63" s="37" t="s">
        <v>144</v>
      </c>
      <c r="G63" s="11">
        <v>0</v>
      </c>
      <c r="H63" s="11">
        <v>0</v>
      </c>
      <c r="I63" s="111">
        <f t="shared" si="6"/>
        <v>0</v>
      </c>
    </row>
    <row r="64" spans="1:9">
      <c r="A64" s="99" t="str">
        <f t="shared" si="5"/>
        <v>1.4</v>
      </c>
      <c r="B64" s="100" t="s">
        <v>132</v>
      </c>
      <c r="C64" s="100" t="s">
        <v>138</v>
      </c>
      <c r="D64" s="100" t="s">
        <v>139</v>
      </c>
      <c r="E64" s="124" t="s">
        <v>145</v>
      </c>
      <c r="F64" s="125" t="s">
        <v>146</v>
      </c>
      <c r="G64" s="11">
        <v>0</v>
      </c>
      <c r="H64" s="11">
        <v>0</v>
      </c>
      <c r="I64" s="126">
        <f t="shared" si="6"/>
        <v>0</v>
      </c>
    </row>
    <row r="65" spans="1:9">
      <c r="A65" s="99" t="str">
        <f t="shared" ref="A65:A66" si="7">+LEFT(E65,3)</f>
        <v>1.5</v>
      </c>
      <c r="B65" s="100" t="s">
        <v>147</v>
      </c>
      <c r="C65" s="100" t="s">
        <v>148</v>
      </c>
      <c r="D65" s="100" t="s">
        <v>149</v>
      </c>
      <c r="E65" s="15" t="s">
        <v>150</v>
      </c>
      <c r="F65" s="101" t="s">
        <v>151</v>
      </c>
      <c r="G65" s="11">
        <v>0</v>
      </c>
      <c r="H65" s="11">
        <v>0</v>
      </c>
      <c r="I65" s="25">
        <f t="shared" si="6"/>
        <v>0</v>
      </c>
    </row>
    <row r="66" spans="1:9">
      <c r="A66" s="99" t="str">
        <f t="shared" si="7"/>
        <v>1.5</v>
      </c>
      <c r="B66" s="100" t="s">
        <v>147</v>
      </c>
      <c r="C66" s="100" t="s">
        <v>148</v>
      </c>
      <c r="D66" s="100" t="s">
        <v>149</v>
      </c>
      <c r="E66" s="15" t="s">
        <v>152</v>
      </c>
      <c r="F66" s="101" t="s">
        <v>153</v>
      </c>
      <c r="G66" s="11">
        <v>0</v>
      </c>
      <c r="H66" s="11">
        <v>0</v>
      </c>
      <c r="I66" s="25">
        <f t="shared" si="6"/>
        <v>0</v>
      </c>
    </row>
    <row r="67" spans="1:9">
      <c r="A67" s="99" t="str">
        <f t="shared" ref="A67:A68" si="8">+LEFT(E67,3)</f>
        <v>1.5</v>
      </c>
      <c r="B67" s="100" t="s">
        <v>147</v>
      </c>
      <c r="C67" s="100" t="s">
        <v>154</v>
      </c>
      <c r="D67" s="100" t="s">
        <v>155</v>
      </c>
      <c r="E67" s="15" t="s">
        <v>156</v>
      </c>
      <c r="F67" s="101" t="s">
        <v>157</v>
      </c>
      <c r="G67" s="11">
        <v>0</v>
      </c>
      <c r="H67" s="11">
        <v>0</v>
      </c>
      <c r="I67" s="25">
        <f t="shared" si="6"/>
        <v>0</v>
      </c>
    </row>
    <row r="68" spans="1:9">
      <c r="A68" s="99" t="str">
        <f t="shared" si="8"/>
        <v>1.5</v>
      </c>
      <c r="B68" s="100" t="s">
        <v>147</v>
      </c>
      <c r="C68" s="100" t="s">
        <v>154</v>
      </c>
      <c r="D68" s="100" t="s">
        <v>155</v>
      </c>
      <c r="E68" s="15" t="s">
        <v>158</v>
      </c>
      <c r="F68" s="101" t="s">
        <v>159</v>
      </c>
      <c r="G68" s="11">
        <v>0</v>
      </c>
      <c r="H68" s="11">
        <v>0</v>
      </c>
      <c r="I68" s="25">
        <f t="shared" si="6"/>
        <v>0</v>
      </c>
    </row>
    <row r="69" spans="1:9">
      <c r="A69" s="99" t="str">
        <f t="shared" ref="A69:A70" si="9">+LEFT(E69,3)</f>
        <v>1.5</v>
      </c>
      <c r="B69" s="100" t="s">
        <v>147</v>
      </c>
      <c r="C69" s="100" t="s">
        <v>160</v>
      </c>
      <c r="D69" s="100" t="s">
        <v>161</v>
      </c>
      <c r="E69" s="15" t="s">
        <v>162</v>
      </c>
      <c r="F69" s="101" t="s">
        <v>157</v>
      </c>
      <c r="G69" s="11">
        <v>0</v>
      </c>
      <c r="H69" s="11">
        <v>0</v>
      </c>
      <c r="I69" s="25">
        <f t="shared" si="6"/>
        <v>0</v>
      </c>
    </row>
    <row r="70" spans="1:9">
      <c r="A70" s="99" t="str">
        <f t="shared" si="9"/>
        <v>1.5</v>
      </c>
      <c r="B70" s="100" t="s">
        <v>147</v>
      </c>
      <c r="C70" s="100" t="s">
        <v>160</v>
      </c>
      <c r="D70" s="100" t="s">
        <v>161</v>
      </c>
      <c r="E70" s="15" t="s">
        <v>163</v>
      </c>
      <c r="F70" s="101" t="s">
        <v>164</v>
      </c>
      <c r="G70" s="11">
        <v>0</v>
      </c>
      <c r="H70" s="11">
        <v>0</v>
      </c>
      <c r="I70" s="25">
        <f t="shared" si="6"/>
        <v>0</v>
      </c>
    </row>
    <row r="71" spans="1:9">
      <c r="A71" s="99" t="str">
        <f t="shared" ref="A71:A72" si="10">+LEFT(E71,3)</f>
        <v>1.5</v>
      </c>
      <c r="B71" s="100" t="s">
        <v>147</v>
      </c>
      <c r="C71" s="100" t="s">
        <v>165</v>
      </c>
      <c r="D71" s="100" t="s">
        <v>166</v>
      </c>
      <c r="E71" s="15" t="s">
        <v>167</v>
      </c>
      <c r="F71" s="101" t="s">
        <v>168</v>
      </c>
      <c r="G71" s="11">
        <v>0</v>
      </c>
      <c r="H71" s="11">
        <v>0</v>
      </c>
      <c r="I71" s="25">
        <f t="shared" si="6"/>
        <v>0</v>
      </c>
    </row>
    <row r="72" spans="1:9">
      <c r="A72" s="99" t="str">
        <f t="shared" si="10"/>
        <v>1.5</v>
      </c>
      <c r="B72" s="100" t="s">
        <v>147</v>
      </c>
      <c r="C72" s="100" t="s">
        <v>165</v>
      </c>
      <c r="D72" s="100" t="s">
        <v>166</v>
      </c>
      <c r="E72" s="15" t="s">
        <v>169</v>
      </c>
      <c r="F72" s="101" t="s">
        <v>170</v>
      </c>
      <c r="G72" s="11">
        <v>0</v>
      </c>
      <c r="H72" s="11">
        <v>0</v>
      </c>
      <c r="I72" s="25">
        <f t="shared" si="6"/>
        <v>0</v>
      </c>
    </row>
    <row r="73" spans="1:9">
      <c r="A73" s="99" t="str">
        <f t="shared" ref="A73:A74" si="11">+LEFT(E73,3)</f>
        <v>1.5</v>
      </c>
      <c r="B73" s="100" t="s">
        <v>147</v>
      </c>
      <c r="C73" s="100" t="s">
        <v>171</v>
      </c>
      <c r="D73" s="100" t="s">
        <v>172</v>
      </c>
      <c r="E73" s="15" t="s">
        <v>173</v>
      </c>
      <c r="F73" s="101" t="s">
        <v>174</v>
      </c>
      <c r="G73" s="11">
        <v>0</v>
      </c>
      <c r="H73" s="11">
        <v>0</v>
      </c>
      <c r="I73" s="25">
        <f t="shared" si="6"/>
        <v>0</v>
      </c>
    </row>
    <row r="74" spans="1:9">
      <c r="A74" s="99" t="str">
        <f t="shared" si="11"/>
        <v>1.5</v>
      </c>
      <c r="B74" s="100" t="s">
        <v>147</v>
      </c>
      <c r="C74" s="100" t="s">
        <v>171</v>
      </c>
      <c r="D74" s="100" t="s">
        <v>172</v>
      </c>
      <c r="E74" s="15" t="s">
        <v>175</v>
      </c>
      <c r="F74" s="101" t="s">
        <v>176</v>
      </c>
      <c r="G74" s="11">
        <v>0</v>
      </c>
      <c r="H74" s="11">
        <v>0</v>
      </c>
      <c r="I74" s="25">
        <f t="shared" si="6"/>
        <v>0</v>
      </c>
    </row>
    <row r="75" spans="1:9">
      <c r="A75" s="99" t="str">
        <f t="shared" ref="A75:A77" si="12">+LEFT(E75,3)</f>
        <v>1.5</v>
      </c>
      <c r="B75" s="100" t="s">
        <v>147</v>
      </c>
      <c r="C75" s="100" t="s">
        <v>177</v>
      </c>
      <c r="D75" s="100" t="s">
        <v>178</v>
      </c>
      <c r="E75" s="15" t="s">
        <v>179</v>
      </c>
      <c r="F75" s="101" t="s">
        <v>103</v>
      </c>
      <c r="G75" s="11">
        <v>0</v>
      </c>
      <c r="H75" s="11">
        <v>0</v>
      </c>
      <c r="I75" s="25">
        <f t="shared" si="6"/>
        <v>0</v>
      </c>
    </row>
    <row r="76" spans="1:9">
      <c r="A76" s="99" t="str">
        <f t="shared" si="12"/>
        <v>1.5</v>
      </c>
      <c r="B76" s="100" t="s">
        <v>147</v>
      </c>
      <c r="C76" s="100" t="s">
        <v>177</v>
      </c>
      <c r="D76" s="100" t="s">
        <v>178</v>
      </c>
      <c r="E76" s="15" t="s">
        <v>180</v>
      </c>
      <c r="F76" s="101" t="s">
        <v>144</v>
      </c>
      <c r="G76" s="11">
        <v>0</v>
      </c>
      <c r="H76" s="11">
        <v>0</v>
      </c>
      <c r="I76" s="25">
        <f t="shared" si="6"/>
        <v>0</v>
      </c>
    </row>
    <row r="77" spans="1:9">
      <c r="A77" s="99" t="str">
        <f t="shared" si="12"/>
        <v>1.5</v>
      </c>
      <c r="B77" s="100" t="s">
        <v>147</v>
      </c>
      <c r="C77" s="100" t="s">
        <v>177</v>
      </c>
      <c r="D77" s="100" t="s">
        <v>178</v>
      </c>
      <c r="E77" s="15" t="s">
        <v>181</v>
      </c>
      <c r="F77" s="101" t="s">
        <v>182</v>
      </c>
      <c r="G77" s="11">
        <v>0</v>
      </c>
      <c r="H77" s="11">
        <v>0</v>
      </c>
      <c r="I77" s="25">
        <f t="shared" si="6"/>
        <v>0</v>
      </c>
    </row>
    <row r="78" spans="1:9">
      <c r="A78" s="99" t="str">
        <f t="shared" ref="A78:A83" si="13">+LEFT(E78,3)</f>
        <v>1.5</v>
      </c>
      <c r="B78" s="100" t="s">
        <v>147</v>
      </c>
      <c r="C78" s="100" t="s">
        <v>183</v>
      </c>
      <c r="D78" s="100" t="s">
        <v>184</v>
      </c>
      <c r="E78" s="15" t="s">
        <v>185</v>
      </c>
      <c r="F78" s="101" t="s">
        <v>186</v>
      </c>
      <c r="G78" s="11">
        <v>0</v>
      </c>
      <c r="H78" s="11">
        <v>0</v>
      </c>
      <c r="I78" s="25">
        <f t="shared" si="6"/>
        <v>0</v>
      </c>
    </row>
    <row r="79" spans="1:9">
      <c r="A79" s="99" t="str">
        <f t="shared" si="13"/>
        <v>1.5</v>
      </c>
      <c r="B79" s="100" t="s">
        <v>147</v>
      </c>
      <c r="C79" s="100" t="s">
        <v>183</v>
      </c>
      <c r="D79" s="100" t="s">
        <v>184</v>
      </c>
      <c r="E79" s="15" t="s">
        <v>187</v>
      </c>
      <c r="F79" s="101" t="s">
        <v>188</v>
      </c>
      <c r="G79" s="11">
        <v>0</v>
      </c>
      <c r="H79" s="11">
        <v>0</v>
      </c>
      <c r="I79" s="25">
        <f t="shared" si="6"/>
        <v>0</v>
      </c>
    </row>
    <row r="80" spans="1:9">
      <c r="A80" s="99" t="str">
        <f t="shared" si="13"/>
        <v>1.5</v>
      </c>
      <c r="B80" s="100" t="s">
        <v>147</v>
      </c>
      <c r="C80" s="100" t="s">
        <v>183</v>
      </c>
      <c r="D80" s="100" t="s">
        <v>184</v>
      </c>
      <c r="E80" s="15" t="s">
        <v>189</v>
      </c>
      <c r="F80" s="101" t="s">
        <v>190</v>
      </c>
      <c r="G80" s="11">
        <v>0</v>
      </c>
      <c r="H80" s="11">
        <v>0</v>
      </c>
      <c r="I80" s="25">
        <f t="shared" si="6"/>
        <v>0</v>
      </c>
    </row>
    <row r="81" spans="1:9">
      <c r="A81" s="99" t="str">
        <f t="shared" si="13"/>
        <v>1.5</v>
      </c>
      <c r="B81" s="100" t="s">
        <v>147</v>
      </c>
      <c r="C81" s="100" t="s">
        <v>183</v>
      </c>
      <c r="D81" s="100" t="s">
        <v>184</v>
      </c>
      <c r="E81" s="15" t="s">
        <v>191</v>
      </c>
      <c r="F81" s="101" t="s">
        <v>192</v>
      </c>
      <c r="G81" s="11">
        <v>0</v>
      </c>
      <c r="H81" s="11">
        <v>0</v>
      </c>
      <c r="I81" s="25">
        <f t="shared" si="6"/>
        <v>0</v>
      </c>
    </row>
    <row r="82" spans="1:9">
      <c r="A82" s="99" t="str">
        <f t="shared" si="13"/>
        <v>1.5</v>
      </c>
      <c r="B82" s="100" t="s">
        <v>147</v>
      </c>
      <c r="C82" s="100" t="s">
        <v>183</v>
      </c>
      <c r="D82" s="100" t="s">
        <v>184</v>
      </c>
      <c r="E82" s="15" t="s">
        <v>193</v>
      </c>
      <c r="F82" s="101" t="s">
        <v>194</v>
      </c>
      <c r="G82" s="11">
        <v>0</v>
      </c>
      <c r="H82" s="11">
        <v>0</v>
      </c>
      <c r="I82" s="25">
        <f t="shared" si="6"/>
        <v>0</v>
      </c>
    </row>
    <row r="83" spans="1:9">
      <c r="A83" s="99" t="str">
        <f t="shared" si="13"/>
        <v>1.5</v>
      </c>
      <c r="B83" s="100" t="s">
        <v>147</v>
      </c>
      <c r="C83" s="100" t="s">
        <v>183</v>
      </c>
      <c r="D83" s="100" t="s">
        <v>184</v>
      </c>
      <c r="E83" s="15" t="s">
        <v>195</v>
      </c>
      <c r="F83" s="101" t="s">
        <v>196</v>
      </c>
      <c r="G83" s="11">
        <v>0</v>
      </c>
      <c r="H83" s="11">
        <v>0</v>
      </c>
      <c r="I83" s="25">
        <f t="shared" si="6"/>
        <v>0</v>
      </c>
    </row>
    <row r="84" spans="1:9">
      <c r="A84" s="99" t="str">
        <f t="shared" ref="A84:A86" si="14">+LEFT(E84,3)</f>
        <v>1.6</v>
      </c>
      <c r="B84" s="100" t="s">
        <v>197</v>
      </c>
      <c r="C84" s="100" t="s">
        <v>198</v>
      </c>
      <c r="D84" s="100" t="s">
        <v>199</v>
      </c>
      <c r="E84" s="15" t="s">
        <v>200</v>
      </c>
      <c r="F84" s="101" t="s">
        <v>201</v>
      </c>
      <c r="G84" s="11">
        <v>0</v>
      </c>
      <c r="H84" s="11">
        <v>0</v>
      </c>
      <c r="I84" s="25">
        <f t="shared" si="6"/>
        <v>0</v>
      </c>
    </row>
    <row r="85" spans="1:9">
      <c r="A85" s="99" t="str">
        <f t="shared" si="14"/>
        <v>1.6</v>
      </c>
      <c r="B85" s="100" t="s">
        <v>197</v>
      </c>
      <c r="C85" s="100" t="s">
        <v>198</v>
      </c>
      <c r="D85" s="100" t="s">
        <v>199</v>
      </c>
      <c r="E85" s="15" t="s">
        <v>202</v>
      </c>
      <c r="F85" s="101" t="s">
        <v>203</v>
      </c>
      <c r="G85" s="11">
        <v>0</v>
      </c>
      <c r="H85" s="11">
        <v>0</v>
      </c>
      <c r="I85" s="25">
        <f t="shared" si="6"/>
        <v>0</v>
      </c>
    </row>
    <row r="86" spans="1:9">
      <c r="A86" s="99" t="str">
        <f t="shared" si="14"/>
        <v>1.6</v>
      </c>
      <c r="B86" s="100" t="s">
        <v>197</v>
      </c>
      <c r="C86" s="100" t="s">
        <v>198</v>
      </c>
      <c r="D86" s="100" t="s">
        <v>199</v>
      </c>
      <c r="E86" s="15" t="s">
        <v>204</v>
      </c>
      <c r="F86" s="101" t="s">
        <v>205</v>
      </c>
      <c r="G86" s="11">
        <v>0</v>
      </c>
      <c r="H86" s="11">
        <v>0</v>
      </c>
      <c r="I86" s="25">
        <f t="shared" si="6"/>
        <v>0</v>
      </c>
    </row>
    <row r="87" spans="1:9">
      <c r="A87" s="99" t="str">
        <f t="shared" ref="A87:A91" si="15">+LEFT(E87,3)</f>
        <v>1.6</v>
      </c>
      <c r="B87" s="100" t="s">
        <v>197</v>
      </c>
      <c r="C87" s="100" t="s">
        <v>206</v>
      </c>
      <c r="D87" s="100" t="s">
        <v>207</v>
      </c>
      <c r="E87" s="15" t="s">
        <v>208</v>
      </c>
      <c r="F87" s="101" t="s">
        <v>209</v>
      </c>
      <c r="G87" s="11">
        <v>0</v>
      </c>
      <c r="H87" s="11">
        <v>0</v>
      </c>
      <c r="I87" s="25">
        <f t="shared" si="6"/>
        <v>0</v>
      </c>
    </row>
    <row r="88" spans="1:9">
      <c r="A88" s="99" t="str">
        <f t="shared" si="15"/>
        <v>1.6</v>
      </c>
      <c r="B88" s="100" t="s">
        <v>197</v>
      </c>
      <c r="C88" s="100" t="s">
        <v>206</v>
      </c>
      <c r="D88" s="100" t="s">
        <v>207</v>
      </c>
      <c r="E88" s="15" t="s">
        <v>210</v>
      </c>
      <c r="F88" s="101" t="s">
        <v>211</v>
      </c>
      <c r="G88" s="11">
        <v>0</v>
      </c>
      <c r="H88" s="11">
        <v>0</v>
      </c>
      <c r="I88" s="25">
        <f t="shared" si="6"/>
        <v>0</v>
      </c>
    </row>
    <row r="89" spans="1:9">
      <c r="A89" s="99" t="str">
        <f t="shared" si="15"/>
        <v>1.6</v>
      </c>
      <c r="B89" s="100" t="s">
        <v>197</v>
      </c>
      <c r="C89" s="100" t="s">
        <v>206</v>
      </c>
      <c r="D89" s="100" t="s">
        <v>207</v>
      </c>
      <c r="E89" s="15" t="s">
        <v>212</v>
      </c>
      <c r="F89" s="101" t="s">
        <v>213</v>
      </c>
      <c r="G89" s="11">
        <v>0</v>
      </c>
      <c r="H89" s="11">
        <v>0</v>
      </c>
      <c r="I89" s="25">
        <f t="shared" si="6"/>
        <v>0</v>
      </c>
    </row>
    <row r="90" spans="1:9">
      <c r="A90" s="99" t="str">
        <f t="shared" si="15"/>
        <v>1.6</v>
      </c>
      <c r="B90" s="100" t="s">
        <v>197</v>
      </c>
      <c r="C90" s="100" t="s">
        <v>206</v>
      </c>
      <c r="D90" s="100" t="s">
        <v>207</v>
      </c>
      <c r="E90" s="15" t="s">
        <v>214</v>
      </c>
      <c r="F90" s="101" t="s">
        <v>215</v>
      </c>
      <c r="G90" s="11">
        <v>0</v>
      </c>
      <c r="H90" s="11">
        <v>0</v>
      </c>
      <c r="I90" s="25">
        <f t="shared" si="6"/>
        <v>0</v>
      </c>
    </row>
    <row r="91" spans="1:9">
      <c r="A91" s="99" t="str">
        <f t="shared" si="15"/>
        <v>1.6</v>
      </c>
      <c r="B91" s="100" t="s">
        <v>197</v>
      </c>
      <c r="C91" s="100" t="s">
        <v>206</v>
      </c>
      <c r="D91" s="100" t="s">
        <v>207</v>
      </c>
      <c r="E91" s="15" t="s">
        <v>216</v>
      </c>
      <c r="F91" s="101" t="s">
        <v>217</v>
      </c>
      <c r="G91" s="11">
        <v>0</v>
      </c>
      <c r="H91" s="11">
        <v>0</v>
      </c>
      <c r="I91" s="25">
        <f t="shared" si="6"/>
        <v>0</v>
      </c>
    </row>
    <row r="92" spans="1:9">
      <c r="A92" s="99" t="str">
        <f t="shared" ref="A92:A93" si="16">+LEFT(E92,3)</f>
        <v>1.6</v>
      </c>
      <c r="B92" s="100" t="s">
        <v>197</v>
      </c>
      <c r="C92" s="100" t="s">
        <v>218</v>
      </c>
      <c r="D92" s="100" t="s">
        <v>219</v>
      </c>
      <c r="E92" s="15" t="s">
        <v>220</v>
      </c>
      <c r="F92" s="101" t="s">
        <v>221</v>
      </c>
      <c r="G92" s="11">
        <v>0</v>
      </c>
      <c r="H92" s="11">
        <v>0</v>
      </c>
      <c r="I92" s="25">
        <f t="shared" si="6"/>
        <v>0</v>
      </c>
    </row>
    <row r="93" spans="1:9">
      <c r="A93" s="99" t="str">
        <f t="shared" si="16"/>
        <v>1.6</v>
      </c>
      <c r="B93" s="100" t="s">
        <v>197</v>
      </c>
      <c r="C93" s="100" t="s">
        <v>218</v>
      </c>
      <c r="D93" s="100" t="s">
        <v>219</v>
      </c>
      <c r="E93" s="15" t="s">
        <v>222</v>
      </c>
      <c r="F93" s="101" t="s">
        <v>223</v>
      </c>
      <c r="G93" s="11">
        <v>0</v>
      </c>
      <c r="H93" s="11">
        <v>0</v>
      </c>
      <c r="I93" s="25">
        <f t="shared" si="6"/>
        <v>0</v>
      </c>
    </row>
    <row r="94" spans="1:9">
      <c r="A94" s="99" t="str">
        <f t="shared" ref="A94:A96" si="17">+LEFT(E94,3)</f>
        <v>1.6</v>
      </c>
      <c r="B94" s="100" t="s">
        <v>197</v>
      </c>
      <c r="C94" s="100" t="s">
        <v>224</v>
      </c>
      <c r="D94" s="100" t="s">
        <v>225</v>
      </c>
      <c r="E94" s="15" t="s">
        <v>226</v>
      </c>
      <c r="F94" s="101" t="s">
        <v>227</v>
      </c>
      <c r="G94" s="156">
        <v>994768827.65999997</v>
      </c>
      <c r="H94" s="156">
        <v>661209703.80999994</v>
      </c>
      <c r="I94" s="25">
        <f t="shared" si="6"/>
        <v>333559123.85000002</v>
      </c>
    </row>
    <row r="95" spans="1:9">
      <c r="A95" s="99" t="str">
        <f t="shared" si="17"/>
        <v>1.6</v>
      </c>
      <c r="B95" s="100" t="s">
        <v>197</v>
      </c>
      <c r="C95" s="100" t="s">
        <v>224</v>
      </c>
      <c r="D95" s="100" t="s">
        <v>225</v>
      </c>
      <c r="E95" s="15" t="s">
        <v>228</v>
      </c>
      <c r="F95" s="101" t="s">
        <v>229</v>
      </c>
      <c r="G95" s="5">
        <v>0</v>
      </c>
      <c r="H95" s="5">
        <v>0</v>
      </c>
      <c r="I95" s="25">
        <f t="shared" ref="I95:I153" si="18">G95-H95</f>
        <v>0</v>
      </c>
    </row>
    <row r="96" spans="1:9">
      <c r="A96" s="99" t="str">
        <f t="shared" si="17"/>
        <v>1.6</v>
      </c>
      <c r="B96" s="100" t="s">
        <v>197</v>
      </c>
      <c r="C96" s="100" t="s">
        <v>224</v>
      </c>
      <c r="D96" s="100" t="s">
        <v>225</v>
      </c>
      <c r="E96" s="15" t="s">
        <v>230</v>
      </c>
      <c r="F96" s="101" t="s">
        <v>231</v>
      </c>
      <c r="G96" s="5">
        <v>0</v>
      </c>
      <c r="H96" s="5">
        <v>0</v>
      </c>
      <c r="I96" s="25">
        <f t="shared" si="18"/>
        <v>0</v>
      </c>
    </row>
    <row r="97" spans="1:9">
      <c r="A97" s="99" t="str">
        <f t="shared" ref="A97:A99" si="19">+LEFT(E97,3)</f>
        <v>1.6</v>
      </c>
      <c r="B97" s="100" t="s">
        <v>197</v>
      </c>
      <c r="C97" s="100" t="s">
        <v>232</v>
      </c>
      <c r="D97" s="100" t="s">
        <v>233</v>
      </c>
      <c r="E97" s="15" t="s">
        <v>234</v>
      </c>
      <c r="F97" s="101" t="s">
        <v>235</v>
      </c>
      <c r="G97" s="5">
        <v>0</v>
      </c>
      <c r="H97" s="5">
        <v>0</v>
      </c>
      <c r="I97" s="25">
        <f t="shared" si="18"/>
        <v>0</v>
      </c>
    </row>
    <row r="98" spans="1:9">
      <c r="A98" s="99" t="str">
        <f t="shared" si="19"/>
        <v>1.6</v>
      </c>
      <c r="B98" s="100" t="s">
        <v>197</v>
      </c>
      <c r="C98" s="100" t="s">
        <v>232</v>
      </c>
      <c r="D98" s="100" t="s">
        <v>233</v>
      </c>
      <c r="E98" s="15" t="s">
        <v>236</v>
      </c>
      <c r="F98" s="101" t="s">
        <v>237</v>
      </c>
      <c r="G98" s="5">
        <v>0</v>
      </c>
      <c r="H98" s="5">
        <v>0</v>
      </c>
      <c r="I98" s="25">
        <f t="shared" si="18"/>
        <v>0</v>
      </c>
    </row>
    <row r="99" spans="1:9">
      <c r="A99" s="99" t="str">
        <f t="shared" si="19"/>
        <v>1.6</v>
      </c>
      <c r="B99" s="100" t="s">
        <v>197</v>
      </c>
      <c r="C99" s="100" t="s">
        <v>232</v>
      </c>
      <c r="D99" s="100" t="s">
        <v>233</v>
      </c>
      <c r="E99" s="15" t="s">
        <v>238</v>
      </c>
      <c r="F99" s="101" t="s">
        <v>239</v>
      </c>
      <c r="G99" s="5">
        <v>0</v>
      </c>
      <c r="H99" s="5">
        <v>0</v>
      </c>
      <c r="I99" s="25">
        <f t="shared" si="18"/>
        <v>0</v>
      </c>
    </row>
    <row r="100" spans="1:9">
      <c r="A100" s="99" t="str">
        <f t="shared" ref="A100:A102" si="20">+LEFT(E100,3)</f>
        <v>1.6</v>
      </c>
      <c r="B100" s="100" t="s">
        <v>197</v>
      </c>
      <c r="C100" s="100" t="s">
        <v>240</v>
      </c>
      <c r="D100" s="100" t="s">
        <v>241</v>
      </c>
      <c r="E100" s="15" t="s">
        <v>242</v>
      </c>
      <c r="F100" s="101" t="s">
        <v>243</v>
      </c>
      <c r="G100" s="5">
        <v>0</v>
      </c>
      <c r="H100" s="5">
        <v>0</v>
      </c>
      <c r="I100" s="25">
        <f t="shared" si="18"/>
        <v>0</v>
      </c>
    </row>
    <row r="101" spans="1:9">
      <c r="A101" s="99" t="str">
        <f t="shared" si="20"/>
        <v>1.6</v>
      </c>
      <c r="B101" s="100" t="s">
        <v>197</v>
      </c>
      <c r="C101" s="100" t="s">
        <v>240</v>
      </c>
      <c r="D101" s="100" t="s">
        <v>241</v>
      </c>
      <c r="E101" s="15" t="s">
        <v>244</v>
      </c>
      <c r="F101" s="101" t="s">
        <v>245</v>
      </c>
      <c r="G101" s="5">
        <v>0</v>
      </c>
      <c r="H101" s="5">
        <v>0</v>
      </c>
      <c r="I101" s="25">
        <f t="shared" si="18"/>
        <v>0</v>
      </c>
    </row>
    <row r="102" spans="1:9" s="118" customFormat="1">
      <c r="A102" s="96" t="str">
        <f t="shared" si="20"/>
        <v>1.6</v>
      </c>
      <c r="B102" s="157" t="s">
        <v>197</v>
      </c>
      <c r="C102" s="157" t="s">
        <v>240</v>
      </c>
      <c r="D102" s="157" t="s">
        <v>241</v>
      </c>
      <c r="E102" s="15" t="s">
        <v>246</v>
      </c>
      <c r="F102" s="101" t="s">
        <v>247</v>
      </c>
      <c r="G102" s="5">
        <v>0</v>
      </c>
      <c r="H102" s="5">
        <v>0</v>
      </c>
      <c r="I102" s="25">
        <f t="shared" si="18"/>
        <v>0</v>
      </c>
    </row>
    <row r="103" spans="1:9">
      <c r="A103" s="99" t="str">
        <f t="shared" ref="A103:A105" si="21">+LEFT(E103,3)</f>
        <v>1.6</v>
      </c>
      <c r="B103" s="100" t="s">
        <v>197</v>
      </c>
      <c r="C103" s="100" t="s">
        <v>248</v>
      </c>
      <c r="D103" s="100" t="s">
        <v>249</v>
      </c>
      <c r="E103" s="15" t="s">
        <v>250</v>
      </c>
      <c r="F103" s="101" t="s">
        <v>243</v>
      </c>
      <c r="G103" s="5">
        <v>0</v>
      </c>
      <c r="H103" s="5">
        <v>0</v>
      </c>
      <c r="I103" s="25">
        <f t="shared" si="18"/>
        <v>0</v>
      </c>
    </row>
    <row r="104" spans="1:9">
      <c r="A104" s="99" t="str">
        <f t="shared" si="21"/>
        <v>1.6</v>
      </c>
      <c r="B104" s="100" t="s">
        <v>197</v>
      </c>
      <c r="C104" s="100" t="s">
        <v>248</v>
      </c>
      <c r="D104" s="100" t="s">
        <v>249</v>
      </c>
      <c r="E104" s="15" t="s">
        <v>251</v>
      </c>
      <c r="F104" s="101" t="s">
        <v>245</v>
      </c>
      <c r="G104" s="5">
        <v>0</v>
      </c>
      <c r="H104" s="5">
        <v>0</v>
      </c>
      <c r="I104" s="25">
        <f t="shared" si="18"/>
        <v>0</v>
      </c>
    </row>
    <row r="105" spans="1:9">
      <c r="A105" s="99" t="str">
        <f t="shared" si="21"/>
        <v>1.6</v>
      </c>
      <c r="B105" s="100" t="s">
        <v>197</v>
      </c>
      <c r="C105" s="100" t="s">
        <v>248</v>
      </c>
      <c r="D105" s="100" t="s">
        <v>249</v>
      </c>
      <c r="E105" s="15" t="s">
        <v>252</v>
      </c>
      <c r="F105" s="101" t="s">
        <v>247</v>
      </c>
      <c r="G105" s="5">
        <v>0</v>
      </c>
      <c r="H105" s="5">
        <v>0</v>
      </c>
      <c r="I105" s="25">
        <f t="shared" si="18"/>
        <v>0</v>
      </c>
    </row>
    <row r="106" spans="1:9">
      <c r="A106" s="99" t="str">
        <f t="shared" ref="A106:A109" si="22">+LEFT(E106,3)</f>
        <v>1.6</v>
      </c>
      <c r="B106" s="100" t="s">
        <v>197</v>
      </c>
      <c r="C106" s="100" t="s">
        <v>253</v>
      </c>
      <c r="D106" s="100" t="s">
        <v>254</v>
      </c>
      <c r="E106" s="15" t="s">
        <v>255</v>
      </c>
      <c r="F106" s="101" t="s">
        <v>256</v>
      </c>
      <c r="G106" s="5">
        <v>0</v>
      </c>
      <c r="H106" s="5">
        <v>0</v>
      </c>
      <c r="I106" s="25">
        <f t="shared" si="18"/>
        <v>0</v>
      </c>
    </row>
    <row r="107" spans="1:9">
      <c r="A107" s="99" t="str">
        <f t="shared" si="22"/>
        <v>1.6</v>
      </c>
      <c r="B107" s="100" t="s">
        <v>197</v>
      </c>
      <c r="C107" s="100" t="s">
        <v>253</v>
      </c>
      <c r="D107" s="100" t="s">
        <v>254</v>
      </c>
      <c r="E107" s="15" t="s">
        <v>257</v>
      </c>
      <c r="F107" s="101" t="s">
        <v>258</v>
      </c>
      <c r="G107" s="5">
        <v>0</v>
      </c>
      <c r="H107" s="5">
        <v>0</v>
      </c>
      <c r="I107" s="25">
        <f t="shared" si="18"/>
        <v>0</v>
      </c>
    </row>
    <row r="108" spans="1:9">
      <c r="A108" s="99" t="str">
        <f t="shared" si="22"/>
        <v>1.6</v>
      </c>
      <c r="B108" s="100" t="s">
        <v>197</v>
      </c>
      <c r="C108" s="100" t="s">
        <v>253</v>
      </c>
      <c r="D108" s="100" t="s">
        <v>254</v>
      </c>
      <c r="E108" s="15" t="s">
        <v>259</v>
      </c>
      <c r="F108" s="101" t="s">
        <v>260</v>
      </c>
      <c r="G108" s="5">
        <v>0</v>
      </c>
      <c r="H108" s="5">
        <v>0</v>
      </c>
      <c r="I108" s="25">
        <f t="shared" si="18"/>
        <v>0</v>
      </c>
    </row>
    <row r="109" spans="1:9">
      <c r="A109" s="99" t="str">
        <f t="shared" si="22"/>
        <v>1.6</v>
      </c>
      <c r="B109" s="100" t="s">
        <v>197</v>
      </c>
      <c r="C109" s="100" t="s">
        <v>253</v>
      </c>
      <c r="D109" s="100" t="s">
        <v>254</v>
      </c>
      <c r="E109" s="15" t="s">
        <v>261</v>
      </c>
      <c r="F109" s="101" t="s">
        <v>262</v>
      </c>
      <c r="G109" s="5">
        <v>0</v>
      </c>
      <c r="H109" s="5">
        <v>0</v>
      </c>
      <c r="I109" s="25">
        <f t="shared" si="18"/>
        <v>0</v>
      </c>
    </row>
    <row r="110" spans="1:9">
      <c r="A110" s="99" t="str">
        <f t="shared" ref="A110" si="23">+LEFT(E110,3)</f>
        <v>1.6</v>
      </c>
      <c r="B110" s="100" t="s">
        <v>197</v>
      </c>
      <c r="C110" s="100" t="s">
        <v>263</v>
      </c>
      <c r="D110" s="100" t="s">
        <v>264</v>
      </c>
      <c r="E110" s="93" t="s">
        <v>265</v>
      </c>
      <c r="F110" s="16" t="s">
        <v>266</v>
      </c>
      <c r="G110" s="5">
        <v>0</v>
      </c>
      <c r="H110" s="5">
        <v>0</v>
      </c>
      <c r="I110" s="25">
        <f t="shared" si="18"/>
        <v>0</v>
      </c>
    </row>
    <row r="111" spans="1:9" ht="15.4" customHeight="1">
      <c r="A111" s="99" t="str">
        <f t="shared" ref="A111:A112" si="24">+LEFT(E111,3)</f>
        <v>1.6</v>
      </c>
      <c r="B111" s="100" t="s">
        <v>197</v>
      </c>
      <c r="C111" s="100" t="s">
        <v>263</v>
      </c>
      <c r="D111" s="100" t="s">
        <v>267</v>
      </c>
      <c r="E111" s="127" t="s">
        <v>268</v>
      </c>
      <c r="F111" s="41" t="s">
        <v>269</v>
      </c>
      <c r="G111" s="5">
        <v>0</v>
      </c>
      <c r="H111" s="5">
        <v>0</v>
      </c>
      <c r="I111" s="25">
        <f t="shared" si="18"/>
        <v>0</v>
      </c>
    </row>
    <row r="112" spans="1:9" ht="22.15" customHeight="1">
      <c r="A112" s="99" t="str">
        <f t="shared" si="24"/>
        <v>1.6</v>
      </c>
      <c r="B112" s="100" t="s">
        <v>197</v>
      </c>
      <c r="C112" s="100" t="s">
        <v>263</v>
      </c>
      <c r="D112" s="100" t="s">
        <v>267</v>
      </c>
      <c r="E112" s="127" t="s">
        <v>270</v>
      </c>
      <c r="F112" s="41" t="s">
        <v>271</v>
      </c>
      <c r="G112" s="5">
        <v>0</v>
      </c>
      <c r="H112" s="5">
        <v>0</v>
      </c>
      <c r="I112" s="25">
        <f t="shared" si="18"/>
        <v>0</v>
      </c>
    </row>
    <row r="113" spans="1:9" ht="20.65" customHeight="1">
      <c r="A113" s="99" t="str">
        <f t="shared" ref="A113:A114" si="25">+LEFT(E113,3)</f>
        <v>1.6</v>
      </c>
      <c r="B113" s="100" t="s">
        <v>197</v>
      </c>
      <c r="C113" s="100" t="s">
        <v>263</v>
      </c>
      <c r="D113" s="100" t="s">
        <v>272</v>
      </c>
      <c r="E113" s="127" t="s">
        <v>273</v>
      </c>
      <c r="F113" s="41" t="s">
        <v>269</v>
      </c>
      <c r="G113" s="5">
        <v>0</v>
      </c>
      <c r="H113" s="5">
        <v>0</v>
      </c>
      <c r="I113" s="25">
        <f t="shared" si="18"/>
        <v>0</v>
      </c>
    </row>
    <row r="114" spans="1:9" ht="22.15" customHeight="1">
      <c r="A114" s="99" t="str">
        <f t="shared" si="25"/>
        <v>1.6</v>
      </c>
      <c r="B114" s="100" t="s">
        <v>197</v>
      </c>
      <c r="C114" s="100" t="s">
        <v>263</v>
      </c>
      <c r="D114" s="100" t="s">
        <v>272</v>
      </c>
      <c r="E114" s="127" t="s">
        <v>274</v>
      </c>
      <c r="F114" s="41" t="s">
        <v>271</v>
      </c>
      <c r="G114" s="5">
        <v>0</v>
      </c>
      <c r="H114" s="5">
        <v>0</v>
      </c>
      <c r="I114" s="25">
        <f t="shared" si="18"/>
        <v>0</v>
      </c>
    </row>
    <row r="115" spans="1:9" ht="18" customHeight="1">
      <c r="A115" s="99" t="str">
        <f t="shared" ref="A115:A118" si="26">+LEFT(E115,3)</f>
        <v>1.6</v>
      </c>
      <c r="B115" s="100" t="s">
        <v>197</v>
      </c>
      <c r="C115" s="100" t="s">
        <v>263</v>
      </c>
      <c r="D115" s="100" t="s">
        <v>275</v>
      </c>
      <c r="E115" s="127" t="s">
        <v>276</v>
      </c>
      <c r="F115" s="41" t="s">
        <v>277</v>
      </c>
      <c r="G115" s="5">
        <v>0</v>
      </c>
      <c r="H115" s="5">
        <v>0</v>
      </c>
      <c r="I115" s="25">
        <f t="shared" si="18"/>
        <v>0</v>
      </c>
    </row>
    <row r="116" spans="1:9" ht="16.149999999999999" customHeight="1">
      <c r="A116" s="99" t="str">
        <f t="shared" si="26"/>
        <v>1.6</v>
      </c>
      <c r="B116" s="100" t="s">
        <v>197</v>
      </c>
      <c r="C116" s="100" t="s">
        <v>263</v>
      </c>
      <c r="D116" s="100" t="s">
        <v>275</v>
      </c>
      <c r="E116" s="127" t="s">
        <v>278</v>
      </c>
      <c r="F116" s="41" t="s">
        <v>279</v>
      </c>
      <c r="G116" s="5">
        <v>0</v>
      </c>
      <c r="H116" s="5">
        <v>0</v>
      </c>
      <c r="I116" s="25">
        <f t="shared" si="18"/>
        <v>0</v>
      </c>
    </row>
    <row r="117" spans="1:9" ht="19.149999999999999" customHeight="1">
      <c r="A117" s="99" t="str">
        <f t="shared" si="26"/>
        <v>1.6</v>
      </c>
      <c r="B117" s="100" t="s">
        <v>197</v>
      </c>
      <c r="C117" s="100" t="s">
        <v>263</v>
      </c>
      <c r="D117" s="100" t="s">
        <v>275</v>
      </c>
      <c r="E117" s="127" t="s">
        <v>280</v>
      </c>
      <c r="F117" s="41" t="s">
        <v>281</v>
      </c>
      <c r="G117" s="5">
        <v>0</v>
      </c>
      <c r="H117" s="5">
        <v>0</v>
      </c>
      <c r="I117" s="25">
        <f t="shared" si="18"/>
        <v>0</v>
      </c>
    </row>
    <row r="118" spans="1:9">
      <c r="A118" s="99" t="str">
        <f t="shared" si="26"/>
        <v>1.6</v>
      </c>
      <c r="B118" s="100" t="s">
        <v>197</v>
      </c>
      <c r="C118" s="100" t="s">
        <v>263</v>
      </c>
      <c r="D118" s="100" t="s">
        <v>275</v>
      </c>
      <c r="E118" s="128" t="s">
        <v>282</v>
      </c>
      <c r="F118" s="40" t="s">
        <v>283</v>
      </c>
      <c r="G118" s="5">
        <v>0</v>
      </c>
      <c r="H118" s="5">
        <v>0</v>
      </c>
      <c r="I118" s="25">
        <f t="shared" si="18"/>
        <v>0</v>
      </c>
    </row>
    <row r="119" spans="1:9" ht="16.899999999999999" customHeight="1">
      <c r="A119" s="99" t="str">
        <f t="shared" ref="A119:A125" si="27">+LEFT(E119,3)</f>
        <v>1.6</v>
      </c>
      <c r="B119" s="100" t="s">
        <v>197</v>
      </c>
      <c r="C119" s="100" t="s">
        <v>263</v>
      </c>
      <c r="D119" s="100" t="s">
        <v>284</v>
      </c>
      <c r="E119" s="127" t="s">
        <v>285</v>
      </c>
      <c r="F119" s="41" t="s">
        <v>286</v>
      </c>
      <c r="G119" s="5">
        <v>0</v>
      </c>
      <c r="H119" s="5">
        <v>0</v>
      </c>
      <c r="I119" s="25">
        <f t="shared" si="18"/>
        <v>0</v>
      </c>
    </row>
    <row r="120" spans="1:9" ht="13.15" customHeight="1">
      <c r="A120" s="99" t="str">
        <f t="shared" si="27"/>
        <v>1.6</v>
      </c>
      <c r="B120" s="100" t="s">
        <v>197</v>
      </c>
      <c r="C120" s="100" t="s">
        <v>263</v>
      </c>
      <c r="D120" s="100" t="s">
        <v>284</v>
      </c>
      <c r="E120" s="127" t="s">
        <v>287</v>
      </c>
      <c r="F120" s="41" t="s">
        <v>288</v>
      </c>
      <c r="G120" s="5">
        <v>0</v>
      </c>
      <c r="H120" s="5">
        <v>0</v>
      </c>
      <c r="I120" s="25">
        <f t="shared" si="18"/>
        <v>0</v>
      </c>
    </row>
    <row r="121" spans="1:9" ht="16.149999999999999" customHeight="1">
      <c r="A121" s="99" t="str">
        <f t="shared" si="27"/>
        <v>1.6</v>
      </c>
      <c r="B121" s="100" t="s">
        <v>197</v>
      </c>
      <c r="C121" s="100" t="s">
        <v>263</v>
      </c>
      <c r="D121" s="100" t="s">
        <v>284</v>
      </c>
      <c r="E121" s="127" t="s">
        <v>289</v>
      </c>
      <c r="F121" s="41" t="s">
        <v>290</v>
      </c>
      <c r="G121" s="5">
        <v>0</v>
      </c>
      <c r="H121" s="5">
        <v>0</v>
      </c>
      <c r="I121" s="25">
        <f t="shared" si="18"/>
        <v>0</v>
      </c>
    </row>
    <row r="122" spans="1:9" ht="18.399999999999999" customHeight="1">
      <c r="A122" s="99" t="str">
        <f t="shared" si="27"/>
        <v>1.6</v>
      </c>
      <c r="B122" s="100" t="s">
        <v>197</v>
      </c>
      <c r="C122" s="100" t="s">
        <v>263</v>
      </c>
      <c r="D122" s="100" t="s">
        <v>284</v>
      </c>
      <c r="E122" s="127" t="s">
        <v>291</v>
      </c>
      <c r="F122" s="41" t="s">
        <v>292</v>
      </c>
      <c r="G122" s="5">
        <v>0</v>
      </c>
      <c r="H122" s="5">
        <v>0</v>
      </c>
      <c r="I122" s="25">
        <f t="shared" si="18"/>
        <v>0</v>
      </c>
    </row>
    <row r="123" spans="1:9">
      <c r="A123" s="99" t="str">
        <f t="shared" si="27"/>
        <v>1.6</v>
      </c>
      <c r="B123" s="100" t="s">
        <v>197</v>
      </c>
      <c r="C123" s="100" t="s">
        <v>263</v>
      </c>
      <c r="D123" s="100" t="s">
        <v>284</v>
      </c>
      <c r="E123" s="128" t="s">
        <v>293</v>
      </c>
      <c r="F123" s="40" t="s">
        <v>294</v>
      </c>
      <c r="G123" s="5">
        <v>0</v>
      </c>
      <c r="H123" s="5">
        <v>0</v>
      </c>
      <c r="I123" s="25">
        <f t="shared" si="18"/>
        <v>0</v>
      </c>
    </row>
    <row r="124" spans="1:9">
      <c r="A124" s="99" t="str">
        <f t="shared" si="27"/>
        <v>1.6</v>
      </c>
      <c r="B124" s="100" t="s">
        <v>197</v>
      </c>
      <c r="C124" s="100" t="s">
        <v>263</v>
      </c>
      <c r="D124" s="100" t="s">
        <v>284</v>
      </c>
      <c r="E124" s="128" t="s">
        <v>295</v>
      </c>
      <c r="F124" s="40" t="s">
        <v>296</v>
      </c>
      <c r="G124" s="5">
        <v>0</v>
      </c>
      <c r="H124" s="5">
        <v>0</v>
      </c>
      <c r="I124" s="25">
        <f t="shared" si="18"/>
        <v>0</v>
      </c>
    </row>
    <row r="125" spans="1:9">
      <c r="A125" s="96" t="str">
        <f t="shared" si="27"/>
        <v>1.6</v>
      </c>
      <c r="B125" s="100" t="s">
        <v>197</v>
      </c>
      <c r="C125" s="100" t="s">
        <v>297</v>
      </c>
      <c r="D125" s="100" t="s">
        <v>298</v>
      </c>
      <c r="E125" s="129" t="s">
        <v>297</v>
      </c>
      <c r="F125" s="20" t="s">
        <v>299</v>
      </c>
      <c r="G125" s="97">
        <v>2190066.6800000002</v>
      </c>
      <c r="H125" s="97">
        <v>2190066.6800000002</v>
      </c>
      <c r="I125" s="98">
        <f t="shared" si="18"/>
        <v>0</v>
      </c>
    </row>
    <row r="126" spans="1:9">
      <c r="A126" s="99" t="str">
        <f t="shared" ref="A126:A129" si="28">+LEFT(E126,3)</f>
        <v>1.7</v>
      </c>
      <c r="B126" s="100" t="s">
        <v>300</v>
      </c>
      <c r="C126" s="100" t="s">
        <v>301</v>
      </c>
      <c r="D126" s="100" t="s">
        <v>302</v>
      </c>
      <c r="E126" s="15" t="s">
        <v>303</v>
      </c>
      <c r="F126" s="101" t="s">
        <v>157</v>
      </c>
      <c r="G126" s="5">
        <v>0</v>
      </c>
      <c r="H126" s="5">
        <v>0</v>
      </c>
      <c r="I126" s="25">
        <f t="shared" si="18"/>
        <v>0</v>
      </c>
    </row>
    <row r="127" spans="1:9">
      <c r="A127" s="99" t="str">
        <f t="shared" si="28"/>
        <v>1.7</v>
      </c>
      <c r="B127" s="100" t="s">
        <v>300</v>
      </c>
      <c r="C127" s="100" t="s">
        <v>301</v>
      </c>
      <c r="D127" s="100" t="s">
        <v>302</v>
      </c>
      <c r="E127" s="15" t="s">
        <v>304</v>
      </c>
      <c r="F127" s="101" t="s">
        <v>305</v>
      </c>
      <c r="G127" s="5">
        <v>0</v>
      </c>
      <c r="H127" s="5">
        <v>0</v>
      </c>
      <c r="I127" s="25">
        <f t="shared" si="18"/>
        <v>0</v>
      </c>
    </row>
    <row r="128" spans="1:9">
      <c r="A128" s="99" t="str">
        <f t="shared" si="28"/>
        <v>1.7</v>
      </c>
      <c r="B128" s="100" t="s">
        <v>300</v>
      </c>
      <c r="C128" s="100" t="s">
        <v>301</v>
      </c>
      <c r="D128" s="100" t="s">
        <v>302</v>
      </c>
      <c r="E128" s="15" t="s">
        <v>306</v>
      </c>
      <c r="F128" s="101" t="s">
        <v>159</v>
      </c>
      <c r="G128" s="5">
        <v>0</v>
      </c>
      <c r="H128" s="5">
        <v>0</v>
      </c>
      <c r="I128" s="25">
        <f t="shared" si="18"/>
        <v>0</v>
      </c>
    </row>
    <row r="129" spans="1:9">
      <c r="A129" s="99" t="str">
        <f t="shared" si="28"/>
        <v>1.7</v>
      </c>
      <c r="B129" s="100" t="s">
        <v>300</v>
      </c>
      <c r="C129" s="100" t="s">
        <v>301</v>
      </c>
      <c r="D129" s="100" t="s">
        <v>302</v>
      </c>
      <c r="E129" s="15" t="s">
        <v>307</v>
      </c>
      <c r="F129" s="101" t="s">
        <v>308</v>
      </c>
      <c r="G129" s="5">
        <v>0</v>
      </c>
      <c r="H129" s="5">
        <v>0</v>
      </c>
      <c r="I129" s="25">
        <f t="shared" si="18"/>
        <v>0</v>
      </c>
    </row>
    <row r="130" spans="1:9">
      <c r="A130" s="99" t="str">
        <f t="shared" ref="A130:A131" si="29">+LEFT(E130,3)</f>
        <v>1.7</v>
      </c>
      <c r="B130" s="100" t="s">
        <v>300</v>
      </c>
      <c r="C130" s="100" t="s">
        <v>309</v>
      </c>
      <c r="D130" s="100" t="s">
        <v>310</v>
      </c>
      <c r="E130" s="15" t="s">
        <v>311</v>
      </c>
      <c r="F130" s="101" t="s">
        <v>312</v>
      </c>
      <c r="G130" s="5">
        <v>0</v>
      </c>
      <c r="H130" s="5">
        <v>0</v>
      </c>
      <c r="I130" s="25">
        <f t="shared" si="18"/>
        <v>0</v>
      </c>
    </row>
    <row r="131" spans="1:9">
      <c r="A131" s="99" t="str">
        <f t="shared" si="29"/>
        <v>1.7</v>
      </c>
      <c r="B131" s="100" t="s">
        <v>300</v>
      </c>
      <c r="C131" s="100" t="s">
        <v>309</v>
      </c>
      <c r="D131" s="100" t="s">
        <v>310</v>
      </c>
      <c r="E131" s="15" t="s">
        <v>313</v>
      </c>
      <c r="F131" s="101" t="s">
        <v>314</v>
      </c>
      <c r="G131" s="5">
        <v>70628762.700000003</v>
      </c>
      <c r="H131" s="5">
        <v>20990773.77</v>
      </c>
      <c r="I131" s="25">
        <f t="shared" si="18"/>
        <v>49637988.930000007</v>
      </c>
    </row>
    <row r="132" spans="1:9">
      <c r="A132" s="107" t="str">
        <f t="shared" ref="A132:A133" si="30">+LEFT(E132,3)</f>
        <v>1.8</v>
      </c>
      <c r="B132" s="100" t="s">
        <v>315</v>
      </c>
      <c r="C132" s="100" t="s">
        <v>316</v>
      </c>
      <c r="D132" s="100" t="s">
        <v>317</v>
      </c>
      <c r="E132" s="108" t="s">
        <v>318</v>
      </c>
      <c r="F132" s="36" t="s">
        <v>319</v>
      </c>
      <c r="G132" s="5">
        <v>0</v>
      </c>
      <c r="H132" s="5">
        <v>0</v>
      </c>
      <c r="I132" s="109">
        <f t="shared" si="18"/>
        <v>0</v>
      </c>
    </row>
    <row r="133" spans="1:9">
      <c r="A133" s="107" t="str">
        <f t="shared" si="30"/>
        <v>1.8</v>
      </c>
      <c r="B133" s="100" t="s">
        <v>315</v>
      </c>
      <c r="C133" s="100" t="s">
        <v>316</v>
      </c>
      <c r="D133" s="100" t="s">
        <v>317</v>
      </c>
      <c r="E133" s="108" t="s">
        <v>320</v>
      </c>
      <c r="F133" s="36" t="s">
        <v>321</v>
      </c>
      <c r="G133" s="5">
        <v>0</v>
      </c>
      <c r="H133" s="5">
        <v>0</v>
      </c>
      <c r="I133" s="109">
        <f t="shared" si="18"/>
        <v>0</v>
      </c>
    </row>
    <row r="134" spans="1:9">
      <c r="A134" s="107" t="str">
        <f t="shared" ref="A134:A135" si="31">+LEFT(E134,3)</f>
        <v>1.8</v>
      </c>
      <c r="B134" s="100" t="s">
        <v>315</v>
      </c>
      <c r="C134" s="100" t="s">
        <v>316</v>
      </c>
      <c r="D134" s="100" t="s">
        <v>317</v>
      </c>
      <c r="E134" s="108" t="s">
        <v>322</v>
      </c>
      <c r="F134" s="36" t="s">
        <v>319</v>
      </c>
      <c r="G134" s="5">
        <v>0</v>
      </c>
      <c r="H134" s="5">
        <v>0</v>
      </c>
      <c r="I134" s="109">
        <f t="shared" si="18"/>
        <v>0</v>
      </c>
    </row>
    <row r="135" spans="1:9">
      <c r="A135" s="107" t="str">
        <f t="shared" si="31"/>
        <v>1.8</v>
      </c>
      <c r="B135" s="100" t="s">
        <v>315</v>
      </c>
      <c r="C135" s="100" t="s">
        <v>316</v>
      </c>
      <c r="D135" s="100" t="s">
        <v>317</v>
      </c>
      <c r="E135" s="108" t="s">
        <v>323</v>
      </c>
      <c r="F135" s="36" t="s">
        <v>321</v>
      </c>
      <c r="G135" s="5">
        <v>0</v>
      </c>
      <c r="H135" s="5">
        <v>0</v>
      </c>
      <c r="I135" s="109">
        <f t="shared" si="18"/>
        <v>0</v>
      </c>
    </row>
    <row r="136" spans="1:9">
      <c r="A136" s="107" t="str">
        <f t="shared" ref="A136" si="32">+LEFT(E136,3)</f>
        <v>1.8</v>
      </c>
      <c r="B136" s="100" t="s">
        <v>315</v>
      </c>
      <c r="C136" s="100" t="s">
        <v>316</v>
      </c>
      <c r="D136" s="100" t="s">
        <v>317</v>
      </c>
      <c r="E136" s="112" t="s">
        <v>324</v>
      </c>
      <c r="F136" s="38" t="s">
        <v>325</v>
      </c>
      <c r="G136" s="5">
        <v>0</v>
      </c>
      <c r="H136" s="5">
        <v>0</v>
      </c>
      <c r="I136" s="113">
        <f t="shared" si="18"/>
        <v>0</v>
      </c>
    </row>
    <row r="137" spans="1:9">
      <c r="A137" s="107" t="str">
        <f t="shared" ref="A137:A145" si="33">+LEFT(E137,3)</f>
        <v>1.8</v>
      </c>
      <c r="B137" s="100" t="s">
        <v>315</v>
      </c>
      <c r="C137" s="100" t="s">
        <v>326</v>
      </c>
      <c r="D137" s="100" t="s">
        <v>327</v>
      </c>
      <c r="E137" s="108" t="s">
        <v>328</v>
      </c>
      <c r="F137" s="36" t="s">
        <v>319</v>
      </c>
      <c r="G137" s="5">
        <v>0</v>
      </c>
      <c r="H137" s="5">
        <v>0</v>
      </c>
      <c r="I137" s="109">
        <f t="shared" si="18"/>
        <v>0</v>
      </c>
    </row>
    <row r="138" spans="1:9">
      <c r="A138" s="107" t="str">
        <f t="shared" si="33"/>
        <v>1.8</v>
      </c>
      <c r="B138" s="100" t="s">
        <v>315</v>
      </c>
      <c r="C138" s="100" t="s">
        <v>326</v>
      </c>
      <c r="D138" s="100" t="s">
        <v>327</v>
      </c>
      <c r="E138" s="108" t="s">
        <v>329</v>
      </c>
      <c r="F138" s="36" t="s">
        <v>321</v>
      </c>
      <c r="G138" s="5">
        <v>0</v>
      </c>
      <c r="H138" s="5">
        <v>0</v>
      </c>
      <c r="I138" s="109">
        <f t="shared" si="18"/>
        <v>0</v>
      </c>
    </row>
    <row r="139" spans="1:9">
      <c r="A139" s="107" t="str">
        <f t="shared" si="33"/>
        <v>1.8</v>
      </c>
      <c r="B139" s="100" t="s">
        <v>315</v>
      </c>
      <c r="C139" s="100" t="s">
        <v>326</v>
      </c>
      <c r="D139" s="100" t="s">
        <v>327</v>
      </c>
      <c r="E139" s="108" t="s">
        <v>330</v>
      </c>
      <c r="F139" s="36" t="s">
        <v>331</v>
      </c>
      <c r="G139" s="5">
        <v>0</v>
      </c>
      <c r="H139" s="5">
        <v>0</v>
      </c>
      <c r="I139" s="109">
        <f t="shared" si="18"/>
        <v>0</v>
      </c>
    </row>
    <row r="140" spans="1:9">
      <c r="A140" s="107" t="str">
        <f t="shared" si="33"/>
        <v>1.8</v>
      </c>
      <c r="B140" s="100" t="s">
        <v>315</v>
      </c>
      <c r="C140" s="100" t="s">
        <v>326</v>
      </c>
      <c r="D140" s="100" t="s">
        <v>327</v>
      </c>
      <c r="E140" s="112" t="s">
        <v>332</v>
      </c>
      <c r="F140" s="38" t="s">
        <v>333</v>
      </c>
      <c r="G140" s="5">
        <v>0</v>
      </c>
      <c r="H140" s="5">
        <v>0</v>
      </c>
      <c r="I140" s="113">
        <f t="shared" si="18"/>
        <v>0</v>
      </c>
    </row>
    <row r="141" spans="1:9">
      <c r="A141" s="99" t="str">
        <f t="shared" si="33"/>
        <v>1.8</v>
      </c>
      <c r="B141" s="100" t="s">
        <v>315</v>
      </c>
      <c r="C141" s="100" t="s">
        <v>334</v>
      </c>
      <c r="D141" s="100" t="s">
        <v>335</v>
      </c>
      <c r="E141" s="15" t="s">
        <v>336</v>
      </c>
      <c r="F141" s="101" t="s">
        <v>337</v>
      </c>
      <c r="G141" s="5">
        <v>0</v>
      </c>
      <c r="H141" s="5">
        <v>0</v>
      </c>
      <c r="I141" s="25">
        <f t="shared" si="18"/>
        <v>0</v>
      </c>
    </row>
    <row r="142" spans="1:9">
      <c r="A142" s="99" t="str">
        <f t="shared" si="33"/>
        <v>1.8</v>
      </c>
      <c r="B142" s="100" t="s">
        <v>315</v>
      </c>
      <c r="C142" s="100" t="s">
        <v>334</v>
      </c>
      <c r="D142" s="100" t="s">
        <v>335</v>
      </c>
      <c r="E142" s="15" t="s">
        <v>338</v>
      </c>
      <c r="F142" s="101" t="s">
        <v>339</v>
      </c>
      <c r="G142" s="5">
        <v>0</v>
      </c>
      <c r="H142" s="5">
        <v>0</v>
      </c>
      <c r="I142" s="25">
        <f t="shared" si="18"/>
        <v>0</v>
      </c>
    </row>
    <row r="143" spans="1:9">
      <c r="A143" s="99" t="str">
        <f t="shared" si="33"/>
        <v>1.8</v>
      </c>
      <c r="B143" s="100" t="s">
        <v>315</v>
      </c>
      <c r="C143" s="100" t="s">
        <v>334</v>
      </c>
      <c r="D143" s="100" t="s">
        <v>335</v>
      </c>
      <c r="E143" s="15" t="s">
        <v>340</v>
      </c>
      <c r="F143" s="101" t="s">
        <v>341</v>
      </c>
      <c r="G143" s="5">
        <v>0</v>
      </c>
      <c r="H143" s="5">
        <v>0</v>
      </c>
      <c r="I143" s="25">
        <f t="shared" si="18"/>
        <v>0</v>
      </c>
    </row>
    <row r="144" spans="1:9">
      <c r="A144" s="99" t="str">
        <f t="shared" si="33"/>
        <v>1.8</v>
      </c>
      <c r="B144" s="100" t="s">
        <v>315</v>
      </c>
      <c r="C144" s="100" t="s">
        <v>334</v>
      </c>
      <c r="D144" s="100" t="s">
        <v>335</v>
      </c>
      <c r="E144" s="15" t="s">
        <v>342</v>
      </c>
      <c r="F144" s="101" t="s">
        <v>343</v>
      </c>
      <c r="G144" s="5">
        <v>0</v>
      </c>
      <c r="H144" s="5">
        <v>0</v>
      </c>
      <c r="I144" s="25">
        <f t="shared" si="18"/>
        <v>0</v>
      </c>
    </row>
    <row r="145" spans="1:9">
      <c r="A145" s="99" t="str">
        <f t="shared" si="33"/>
        <v>1.8</v>
      </c>
      <c r="B145" s="100" t="s">
        <v>315</v>
      </c>
      <c r="C145" s="100" t="s">
        <v>334</v>
      </c>
      <c r="D145" s="100" t="s">
        <v>335</v>
      </c>
      <c r="E145" s="15" t="s">
        <v>344</v>
      </c>
      <c r="F145" s="101" t="s">
        <v>95</v>
      </c>
      <c r="G145" s="5">
        <v>0</v>
      </c>
      <c r="H145" s="5">
        <v>0</v>
      </c>
      <c r="I145" s="25">
        <f t="shared" si="18"/>
        <v>0</v>
      </c>
    </row>
    <row r="146" spans="1:9">
      <c r="A146" s="107" t="str">
        <f t="shared" ref="A146:A148" si="34">+LEFT(E146,3)</f>
        <v>1.8</v>
      </c>
      <c r="B146" s="100" t="s">
        <v>315</v>
      </c>
      <c r="C146" s="100" t="s">
        <v>345</v>
      </c>
      <c r="D146" s="100" t="s">
        <v>346</v>
      </c>
      <c r="E146" s="108" t="s">
        <v>347</v>
      </c>
      <c r="F146" s="36" t="s">
        <v>348</v>
      </c>
      <c r="G146" s="5">
        <v>0</v>
      </c>
      <c r="H146" s="5">
        <v>0</v>
      </c>
      <c r="I146" s="109">
        <f t="shared" si="18"/>
        <v>0</v>
      </c>
    </row>
    <row r="147" spans="1:9">
      <c r="A147" s="107" t="str">
        <f t="shared" si="34"/>
        <v>1.8</v>
      </c>
      <c r="B147" s="100" t="s">
        <v>315</v>
      </c>
      <c r="C147" s="100" t="s">
        <v>345</v>
      </c>
      <c r="D147" s="100" t="s">
        <v>346</v>
      </c>
      <c r="E147" s="108" t="s">
        <v>349</v>
      </c>
      <c r="F147" s="36" t="s">
        <v>350</v>
      </c>
      <c r="G147" s="5">
        <v>0</v>
      </c>
      <c r="H147" s="5">
        <v>0</v>
      </c>
      <c r="I147" s="109">
        <f t="shared" si="18"/>
        <v>0</v>
      </c>
    </row>
    <row r="148" spans="1:9">
      <c r="A148" s="107" t="str">
        <f t="shared" si="34"/>
        <v>1.8</v>
      </c>
      <c r="B148" s="100" t="s">
        <v>315</v>
      </c>
      <c r="C148" s="100" t="s">
        <v>345</v>
      </c>
      <c r="D148" s="100" t="s">
        <v>346</v>
      </c>
      <c r="E148" s="108" t="s">
        <v>351</v>
      </c>
      <c r="F148" s="36" t="s">
        <v>352</v>
      </c>
      <c r="G148" s="5">
        <v>0</v>
      </c>
      <c r="H148" s="5">
        <v>0</v>
      </c>
      <c r="I148" s="109">
        <f t="shared" si="18"/>
        <v>0</v>
      </c>
    </row>
    <row r="149" spans="1:9">
      <c r="A149" s="107" t="str">
        <f t="shared" ref="A149:A151" si="35">+LEFT(E149,3)</f>
        <v>1.8</v>
      </c>
      <c r="B149" s="100" t="s">
        <v>315</v>
      </c>
      <c r="C149" s="100" t="s">
        <v>345</v>
      </c>
      <c r="D149" s="100" t="s">
        <v>346</v>
      </c>
      <c r="E149" s="108" t="s">
        <v>353</v>
      </c>
      <c r="F149" s="36" t="s">
        <v>354</v>
      </c>
      <c r="G149" s="5">
        <v>0</v>
      </c>
      <c r="H149" s="5">
        <v>0</v>
      </c>
      <c r="I149" s="109">
        <f t="shared" si="18"/>
        <v>0</v>
      </c>
    </row>
    <row r="150" spans="1:9">
      <c r="A150" s="107" t="str">
        <f t="shared" si="35"/>
        <v>1.8</v>
      </c>
      <c r="B150" s="100" t="s">
        <v>315</v>
      </c>
      <c r="C150" s="100" t="s">
        <v>345</v>
      </c>
      <c r="D150" s="100" t="s">
        <v>346</v>
      </c>
      <c r="E150" s="108" t="s">
        <v>355</v>
      </c>
      <c r="F150" s="36" t="s">
        <v>356</v>
      </c>
      <c r="G150" s="5">
        <v>0</v>
      </c>
      <c r="H150" s="5">
        <v>0</v>
      </c>
      <c r="I150" s="109">
        <f t="shared" si="18"/>
        <v>0</v>
      </c>
    </row>
    <row r="151" spans="1:9">
      <c r="A151" s="91" t="str">
        <f t="shared" si="35"/>
        <v>1.8</v>
      </c>
      <c r="B151" s="100" t="s">
        <v>315</v>
      </c>
      <c r="C151" s="100" t="s">
        <v>357</v>
      </c>
      <c r="D151" s="100" t="s">
        <v>346</v>
      </c>
      <c r="E151" s="21" t="s">
        <v>357</v>
      </c>
      <c r="F151" s="122" t="s">
        <v>358</v>
      </c>
      <c r="G151" s="5">
        <v>0</v>
      </c>
      <c r="H151" s="5">
        <v>0</v>
      </c>
      <c r="I151" s="30">
        <f t="shared" si="18"/>
        <v>0</v>
      </c>
    </row>
    <row r="152" spans="1:9">
      <c r="A152" s="107" t="str">
        <f t="shared" ref="A152:A157" si="36">+LEFT(E152,3)</f>
        <v>1.8</v>
      </c>
      <c r="B152" s="100" t="s">
        <v>315</v>
      </c>
      <c r="C152" s="100" t="s">
        <v>359</v>
      </c>
      <c r="D152" s="100" t="s">
        <v>360</v>
      </c>
      <c r="E152" s="108" t="s">
        <v>361</v>
      </c>
      <c r="F152" s="36" t="s">
        <v>362</v>
      </c>
      <c r="G152" s="5">
        <v>0</v>
      </c>
      <c r="H152" s="5">
        <v>0</v>
      </c>
      <c r="I152" s="109">
        <f t="shared" si="18"/>
        <v>0</v>
      </c>
    </row>
    <row r="153" spans="1:9">
      <c r="A153" s="107" t="str">
        <f t="shared" si="36"/>
        <v>1.8</v>
      </c>
      <c r="B153" s="100" t="s">
        <v>315</v>
      </c>
      <c r="C153" s="100" t="s">
        <v>359</v>
      </c>
      <c r="D153" s="100" t="s">
        <v>360</v>
      </c>
      <c r="E153" s="108" t="s">
        <v>363</v>
      </c>
      <c r="F153" s="36" t="s">
        <v>364</v>
      </c>
      <c r="G153" s="5">
        <v>0</v>
      </c>
      <c r="H153" s="5">
        <v>0</v>
      </c>
      <c r="I153" s="109">
        <f t="shared" si="18"/>
        <v>0</v>
      </c>
    </row>
    <row r="154" spans="1:9">
      <c r="A154" s="99" t="str">
        <f t="shared" si="36"/>
        <v>1.8</v>
      </c>
      <c r="B154" s="100" t="s">
        <v>315</v>
      </c>
      <c r="C154" s="100" t="s">
        <v>359</v>
      </c>
      <c r="D154" s="100" t="s">
        <v>360</v>
      </c>
      <c r="E154" s="35" t="s">
        <v>365</v>
      </c>
      <c r="F154" s="123" t="s">
        <v>366</v>
      </c>
      <c r="G154" s="5">
        <v>0</v>
      </c>
      <c r="H154" s="5">
        <v>0</v>
      </c>
      <c r="I154" s="28">
        <f t="shared" ref="I154:I161" si="37">G154-H154</f>
        <v>0</v>
      </c>
    </row>
    <row r="155" spans="1:9">
      <c r="A155" s="99" t="str">
        <f t="shared" si="36"/>
        <v>1.8</v>
      </c>
      <c r="B155" s="100" t="s">
        <v>315</v>
      </c>
      <c r="C155" s="100" t="s">
        <v>359</v>
      </c>
      <c r="D155" s="100" t="s">
        <v>360</v>
      </c>
      <c r="E155" s="35" t="s">
        <v>367</v>
      </c>
      <c r="F155" s="123" t="s">
        <v>368</v>
      </c>
      <c r="G155" s="130">
        <v>196434369.22999999</v>
      </c>
      <c r="H155" s="5">
        <v>32174232.68</v>
      </c>
      <c r="I155" s="28">
        <f t="shared" si="37"/>
        <v>164260136.54999998</v>
      </c>
    </row>
    <row r="156" spans="1:9">
      <c r="A156" s="99" t="str">
        <f t="shared" si="36"/>
        <v>1.8</v>
      </c>
      <c r="B156" s="100" t="s">
        <v>315</v>
      </c>
      <c r="C156" s="100" t="s">
        <v>359</v>
      </c>
      <c r="D156" s="100" t="s">
        <v>360</v>
      </c>
      <c r="E156" s="35" t="s">
        <v>369</v>
      </c>
      <c r="F156" s="123" t="s">
        <v>370</v>
      </c>
      <c r="G156" s="130">
        <v>0</v>
      </c>
      <c r="H156" s="5">
        <v>0</v>
      </c>
      <c r="I156" s="28">
        <f t="shared" si="37"/>
        <v>0</v>
      </c>
    </row>
    <row r="157" spans="1:9">
      <c r="A157" s="99" t="str">
        <f t="shared" si="36"/>
        <v>1.8</v>
      </c>
      <c r="B157" s="100" t="s">
        <v>315</v>
      </c>
      <c r="C157" s="100" t="s">
        <v>359</v>
      </c>
      <c r="D157" s="100" t="s">
        <v>360</v>
      </c>
      <c r="E157" s="35" t="s">
        <v>371</v>
      </c>
      <c r="F157" s="123" t="s">
        <v>372</v>
      </c>
      <c r="G157" s="131">
        <v>22804180.809999999</v>
      </c>
      <c r="H157" s="132">
        <v>102317798.29000001</v>
      </c>
      <c r="I157" s="28">
        <f>G157-H157</f>
        <v>-79513617.480000004</v>
      </c>
    </row>
    <row r="158" spans="1:9">
      <c r="A158" s="99" t="str">
        <f t="shared" ref="A158:A161" si="38">+LEFT(E158,3)</f>
        <v>1.8</v>
      </c>
      <c r="B158" s="100" t="s">
        <v>315</v>
      </c>
      <c r="C158" s="100" t="s">
        <v>373</v>
      </c>
      <c r="D158" s="100" t="s">
        <v>374</v>
      </c>
      <c r="E158" s="15" t="s">
        <v>375</v>
      </c>
      <c r="F158" s="101" t="s">
        <v>376</v>
      </c>
      <c r="G158" s="5">
        <v>26560261.710000001</v>
      </c>
      <c r="H158" s="5">
        <v>0</v>
      </c>
      <c r="I158" s="25">
        <f t="shared" si="37"/>
        <v>26560261.710000001</v>
      </c>
    </row>
    <row r="159" spans="1:9">
      <c r="A159" s="99" t="str">
        <f t="shared" si="38"/>
        <v>1.8</v>
      </c>
      <c r="B159" s="100" t="s">
        <v>315</v>
      </c>
      <c r="C159" s="100" t="s">
        <v>373</v>
      </c>
      <c r="D159" s="100" t="s">
        <v>374</v>
      </c>
      <c r="E159" s="15" t="s">
        <v>377</v>
      </c>
      <c r="F159" s="101" t="s">
        <v>378</v>
      </c>
      <c r="G159" s="5">
        <v>0</v>
      </c>
      <c r="H159" s="5">
        <v>0</v>
      </c>
      <c r="I159" s="25">
        <f t="shared" si="37"/>
        <v>0</v>
      </c>
    </row>
    <row r="160" spans="1:9">
      <c r="A160" s="99" t="str">
        <f t="shared" si="38"/>
        <v>1.8</v>
      </c>
      <c r="B160" s="100" t="s">
        <v>315</v>
      </c>
      <c r="C160" s="100" t="s">
        <v>373</v>
      </c>
      <c r="D160" s="100" t="s">
        <v>374</v>
      </c>
      <c r="E160" s="15" t="s">
        <v>379</v>
      </c>
      <c r="F160" s="101" t="s">
        <v>380</v>
      </c>
      <c r="G160" s="5">
        <v>0</v>
      </c>
      <c r="H160" s="5">
        <v>0</v>
      </c>
      <c r="I160" s="25">
        <f t="shared" si="37"/>
        <v>0</v>
      </c>
    </row>
    <row r="161" spans="1:9">
      <c r="A161" s="99" t="str">
        <f t="shared" si="38"/>
        <v>1.8</v>
      </c>
      <c r="B161" s="133" t="s">
        <v>315</v>
      </c>
      <c r="C161" s="133" t="s">
        <v>373</v>
      </c>
      <c r="D161" s="133" t="s">
        <v>374</v>
      </c>
      <c r="E161" s="19" t="s">
        <v>381</v>
      </c>
      <c r="F161" s="104" t="s">
        <v>382</v>
      </c>
      <c r="G161" s="134">
        <v>0</v>
      </c>
      <c r="H161" s="134">
        <v>26560261.710000001</v>
      </c>
      <c r="I161" s="27">
        <f t="shared" si="37"/>
        <v>-26560261.710000001</v>
      </c>
    </row>
    <row r="162" spans="1:9" ht="17.25" thickBot="1">
      <c r="E162" s="135"/>
      <c r="F162" s="135"/>
    </row>
    <row r="163" spans="1:9">
      <c r="E163" s="135"/>
      <c r="F163" s="135"/>
    </row>
    <row r="164" spans="1:9">
      <c r="E164" s="135"/>
      <c r="F164" s="135"/>
    </row>
    <row r="165" spans="1:9">
      <c r="E165" s="135"/>
      <c r="F165" s="135"/>
    </row>
    <row r="166" spans="1:9">
      <c r="E166" s="135"/>
      <c r="F166" s="135"/>
    </row>
    <row r="167" spans="1:9">
      <c r="E167" s="135"/>
      <c r="F167" s="135"/>
    </row>
    <row r="168" spans="1:9">
      <c r="E168" s="135"/>
      <c r="F168" s="135"/>
    </row>
    <row r="169" spans="1:9">
      <c r="E169" s="135"/>
      <c r="F169" s="135"/>
    </row>
    <row r="170" spans="1:9">
      <c r="E170" s="135"/>
      <c r="F170" s="135"/>
    </row>
    <row r="171" spans="1:9">
      <c r="E171" s="135"/>
      <c r="F171" s="135"/>
    </row>
    <row r="172" spans="1:9">
      <c r="E172" s="135"/>
      <c r="F172" s="135"/>
    </row>
    <row r="173" spans="1:9">
      <c r="E173" s="135"/>
      <c r="F173" s="135"/>
    </row>
    <row r="174" spans="1:9">
      <c r="E174" s="135"/>
      <c r="F174" s="135"/>
    </row>
    <row r="175" spans="1:9">
      <c r="E175" s="135"/>
      <c r="F175" s="135"/>
    </row>
    <row r="176" spans="1:9">
      <c r="E176" s="135"/>
      <c r="F176" s="135"/>
    </row>
    <row r="177" spans="5:6">
      <c r="E177" s="135"/>
      <c r="F177" s="135"/>
    </row>
    <row r="178" spans="5:6">
      <c r="E178" s="135"/>
      <c r="F178" s="135"/>
    </row>
    <row r="179" spans="5:6">
      <c r="E179" s="135"/>
      <c r="F179" s="135"/>
    </row>
    <row r="180" spans="5:6">
      <c r="E180" s="135"/>
      <c r="F180" s="135"/>
    </row>
    <row r="181" spans="5:6">
      <c r="E181" s="135"/>
      <c r="F181" s="135"/>
    </row>
    <row r="182" spans="5:6">
      <c r="E182" s="135"/>
      <c r="F182" s="135"/>
    </row>
    <row r="183" spans="5:6">
      <c r="E183" s="135"/>
      <c r="F183" s="135"/>
    </row>
    <row r="184" spans="5:6">
      <c r="E184" s="135"/>
      <c r="F184" s="135"/>
    </row>
    <row r="185" spans="5:6">
      <c r="E185" s="135"/>
      <c r="F185" s="135"/>
    </row>
    <row r="186" spans="5:6">
      <c r="E186" s="135"/>
      <c r="F186" s="135"/>
    </row>
    <row r="187" spans="5:6">
      <c r="E187" s="135"/>
      <c r="F187" s="135"/>
    </row>
    <row r="188" spans="5:6">
      <c r="E188" s="135"/>
      <c r="F188" s="135"/>
    </row>
    <row r="189" spans="5:6">
      <c r="E189" s="135"/>
      <c r="F189" s="135"/>
    </row>
    <row r="190" spans="5:6">
      <c r="E190" s="135"/>
      <c r="F190" s="135"/>
    </row>
    <row r="191" spans="5:6">
      <c r="E191" s="135"/>
      <c r="F191" s="135"/>
    </row>
    <row r="192" spans="5:6">
      <c r="E192" s="135"/>
      <c r="F192" s="135"/>
    </row>
    <row r="193" spans="5:6">
      <c r="E193" s="135"/>
      <c r="F193" s="135"/>
    </row>
    <row r="194" spans="5:6">
      <c r="E194" s="135"/>
      <c r="F194" s="135"/>
    </row>
    <row r="195" spans="5:6">
      <c r="E195" s="135"/>
      <c r="F195" s="135"/>
    </row>
    <row r="196" spans="5:6">
      <c r="E196" s="135"/>
      <c r="F196" s="135"/>
    </row>
    <row r="197" spans="5:6">
      <c r="E197" s="135"/>
      <c r="F197" s="135"/>
    </row>
    <row r="198" spans="5:6">
      <c r="E198" s="135"/>
      <c r="F198" s="135"/>
    </row>
    <row r="199" spans="5:6">
      <c r="E199" s="135"/>
      <c r="F199" s="135"/>
    </row>
    <row r="200" spans="5:6">
      <c r="E200" s="135"/>
      <c r="F200" s="135"/>
    </row>
    <row r="201" spans="5:6">
      <c r="E201" s="135"/>
      <c r="F201" s="135"/>
    </row>
    <row r="202" spans="5:6">
      <c r="E202" s="135"/>
      <c r="F202" s="135"/>
    </row>
    <row r="203" spans="5:6">
      <c r="E203" s="135"/>
      <c r="F203" s="135"/>
    </row>
    <row r="204" spans="5:6">
      <c r="E204" s="135"/>
      <c r="F204" s="135"/>
    </row>
    <row r="205" spans="5:6">
      <c r="E205" s="135"/>
      <c r="F205" s="135"/>
    </row>
    <row r="206" spans="5:6">
      <c r="E206" s="135"/>
      <c r="F206" s="135"/>
    </row>
    <row r="207" spans="5:6">
      <c r="E207" s="135"/>
      <c r="F207" s="135"/>
    </row>
    <row r="208" spans="5:6">
      <c r="E208" s="135"/>
      <c r="F208" s="135"/>
    </row>
    <row r="209" spans="5:6">
      <c r="E209" s="135"/>
      <c r="F209" s="135"/>
    </row>
    <row r="210" spans="5:6">
      <c r="E210" s="135"/>
      <c r="F210" s="135"/>
    </row>
    <row r="211" spans="5:6">
      <c r="E211" s="135"/>
      <c r="F211" s="135"/>
    </row>
    <row r="212" spans="5:6">
      <c r="E212" s="135"/>
      <c r="F212" s="135"/>
    </row>
    <row r="213" spans="5:6">
      <c r="E213" s="135"/>
      <c r="F213" s="135"/>
    </row>
    <row r="214" spans="5:6">
      <c r="E214" s="135"/>
      <c r="F214" s="135"/>
    </row>
    <row r="215" spans="5:6">
      <c r="E215" s="135"/>
      <c r="F215" s="135"/>
    </row>
    <row r="216" spans="5:6">
      <c r="E216" s="135"/>
      <c r="F216" s="135"/>
    </row>
    <row r="217" spans="5:6">
      <c r="E217" s="135"/>
      <c r="F217" s="135"/>
    </row>
    <row r="218" spans="5:6">
      <c r="E218" s="135"/>
      <c r="F218" s="135"/>
    </row>
    <row r="219" spans="5:6">
      <c r="E219" s="135"/>
      <c r="F219" s="135"/>
    </row>
    <row r="220" spans="5:6">
      <c r="E220" s="135"/>
      <c r="F220" s="135"/>
    </row>
    <row r="221" spans="5:6">
      <c r="E221" s="135"/>
      <c r="F221" s="135"/>
    </row>
    <row r="222" spans="5:6">
      <c r="E222" s="135"/>
      <c r="F222" s="135"/>
    </row>
    <row r="223" spans="5:6">
      <c r="E223" s="135"/>
      <c r="F223" s="135"/>
    </row>
    <row r="224" spans="5:6">
      <c r="E224" s="135"/>
      <c r="F224" s="135"/>
    </row>
    <row r="225" spans="5:6">
      <c r="E225" s="135"/>
      <c r="F225" s="135"/>
    </row>
    <row r="226" spans="5:6">
      <c r="E226" s="135"/>
      <c r="F226" s="135"/>
    </row>
    <row r="227" spans="5:6">
      <c r="E227" s="135"/>
      <c r="F227" s="135"/>
    </row>
    <row r="228" spans="5:6">
      <c r="E228" s="135"/>
      <c r="F228" s="135"/>
    </row>
    <row r="229" spans="5:6">
      <c r="E229" s="135"/>
      <c r="F229" s="135"/>
    </row>
    <row r="230" spans="5:6">
      <c r="E230" s="135"/>
      <c r="F230" s="135"/>
    </row>
    <row r="231" spans="5:6">
      <c r="E231" s="135"/>
      <c r="F231" s="135"/>
    </row>
    <row r="232" spans="5:6">
      <c r="E232" s="135"/>
      <c r="F232" s="135"/>
    </row>
    <row r="233" spans="5:6">
      <c r="E233" s="135"/>
      <c r="F233" s="135"/>
    </row>
    <row r="234" spans="5:6">
      <c r="E234" s="135"/>
      <c r="F234" s="135"/>
    </row>
    <row r="235" spans="5:6">
      <c r="E235" s="135"/>
      <c r="F235" s="135"/>
    </row>
    <row r="236" spans="5:6">
      <c r="E236" s="135"/>
      <c r="F236" s="135"/>
    </row>
    <row r="237" spans="5:6">
      <c r="E237" s="135"/>
      <c r="F237" s="135"/>
    </row>
    <row r="238" spans="5:6">
      <c r="E238" s="135"/>
      <c r="F238" s="135"/>
    </row>
    <row r="239" spans="5:6">
      <c r="E239" s="135"/>
      <c r="F239" s="135"/>
    </row>
    <row r="240" spans="5:6">
      <c r="E240" s="135"/>
      <c r="F240" s="135"/>
    </row>
    <row r="241" spans="5:6">
      <c r="E241" s="135"/>
      <c r="F241" s="135"/>
    </row>
    <row r="242" spans="5:6">
      <c r="E242" s="135"/>
      <c r="F242" s="135"/>
    </row>
    <row r="243" spans="5:6">
      <c r="E243" s="135"/>
      <c r="F243" s="135"/>
    </row>
    <row r="244" spans="5:6">
      <c r="E244" s="135"/>
      <c r="F244" s="135"/>
    </row>
    <row r="245" spans="5:6">
      <c r="E245" s="135"/>
      <c r="F245" s="135"/>
    </row>
    <row r="246" spans="5:6">
      <c r="E246" s="135"/>
      <c r="F246" s="135"/>
    </row>
    <row r="247" spans="5:6">
      <c r="E247" s="135"/>
      <c r="F247" s="135"/>
    </row>
    <row r="248" spans="5:6">
      <c r="E248" s="135"/>
      <c r="F248" s="135"/>
    </row>
    <row r="249" spans="5:6">
      <c r="E249" s="135"/>
      <c r="F249" s="135"/>
    </row>
    <row r="250" spans="5:6">
      <c r="E250" s="135"/>
      <c r="F250" s="135"/>
    </row>
    <row r="251" spans="5:6">
      <c r="E251" s="135"/>
      <c r="F251" s="135"/>
    </row>
    <row r="252" spans="5:6">
      <c r="E252" s="135"/>
      <c r="F252" s="135"/>
    </row>
    <row r="253" spans="5:6">
      <c r="E253" s="135"/>
      <c r="F253" s="135"/>
    </row>
    <row r="254" spans="5:6">
      <c r="E254" s="135"/>
      <c r="F254" s="135"/>
    </row>
    <row r="255" spans="5:6">
      <c r="E255" s="135"/>
      <c r="F255" s="135"/>
    </row>
    <row r="256" spans="5:6">
      <c r="E256" s="135"/>
      <c r="F256" s="135"/>
    </row>
    <row r="257" spans="5:6">
      <c r="E257" s="135"/>
      <c r="F257" s="135"/>
    </row>
    <row r="258" spans="5:6">
      <c r="E258" s="135"/>
      <c r="F258" s="135"/>
    </row>
    <row r="259" spans="5:6">
      <c r="E259" s="135"/>
      <c r="F259" s="135"/>
    </row>
    <row r="260" spans="5:6">
      <c r="E260" s="135"/>
      <c r="F260" s="135"/>
    </row>
    <row r="261" spans="5:6">
      <c r="E261" s="135"/>
      <c r="F261" s="135"/>
    </row>
    <row r="262" spans="5:6">
      <c r="E262" s="135"/>
      <c r="F262" s="135"/>
    </row>
    <row r="263" spans="5:6">
      <c r="E263" s="135"/>
      <c r="F263" s="135"/>
    </row>
    <row r="264" spans="5:6">
      <c r="E264" s="135"/>
      <c r="F264" s="135"/>
    </row>
    <row r="265" spans="5:6">
      <c r="E265" s="135"/>
      <c r="F265" s="135"/>
    </row>
    <row r="266" spans="5:6">
      <c r="E266" s="135"/>
      <c r="F266" s="135"/>
    </row>
    <row r="267" spans="5:6">
      <c r="E267" s="135"/>
      <c r="F267" s="135"/>
    </row>
    <row r="268" spans="5:6">
      <c r="E268" s="135"/>
      <c r="F268" s="135"/>
    </row>
    <row r="269" spans="5:6">
      <c r="E269" s="135"/>
      <c r="F269" s="135"/>
    </row>
    <row r="270" spans="5:6">
      <c r="E270" s="135"/>
      <c r="F270" s="135"/>
    </row>
    <row r="271" spans="5:6">
      <c r="E271" s="135"/>
      <c r="F271" s="135"/>
    </row>
    <row r="272" spans="5:6">
      <c r="E272" s="135"/>
      <c r="F272" s="135"/>
    </row>
    <row r="273" spans="5:6">
      <c r="E273" s="135"/>
      <c r="F273" s="135"/>
    </row>
    <row r="274" spans="5:6">
      <c r="E274" s="135"/>
      <c r="F274" s="135"/>
    </row>
    <row r="275" spans="5:6">
      <c r="E275" s="135"/>
      <c r="F275" s="135"/>
    </row>
    <row r="276" spans="5:6">
      <c r="E276" s="135"/>
      <c r="F276" s="135"/>
    </row>
    <row r="277" spans="5:6">
      <c r="E277" s="135"/>
      <c r="F277" s="135"/>
    </row>
    <row r="278" spans="5:6">
      <c r="E278" s="135"/>
      <c r="F278" s="135"/>
    </row>
    <row r="279" spans="5:6">
      <c r="E279" s="135"/>
      <c r="F279" s="135"/>
    </row>
    <row r="280" spans="5:6">
      <c r="E280" s="135"/>
      <c r="F280" s="135"/>
    </row>
    <row r="281" spans="5:6">
      <c r="E281" s="135"/>
      <c r="F281" s="135"/>
    </row>
    <row r="282" spans="5:6">
      <c r="E282" s="135"/>
      <c r="F282" s="135"/>
    </row>
    <row r="283" spans="5:6">
      <c r="E283" s="135"/>
      <c r="F283" s="135"/>
    </row>
    <row r="284" spans="5:6">
      <c r="E284" s="135"/>
      <c r="F284" s="135"/>
    </row>
    <row r="285" spans="5:6">
      <c r="E285" s="135"/>
      <c r="F285" s="135"/>
    </row>
    <row r="286" spans="5:6">
      <c r="E286" s="135"/>
      <c r="F286" s="135"/>
    </row>
    <row r="287" spans="5:6">
      <c r="E287" s="135"/>
      <c r="F287" s="135"/>
    </row>
    <row r="288" spans="5:6">
      <c r="E288" s="135"/>
      <c r="F288" s="135"/>
    </row>
    <row r="289" spans="5:6">
      <c r="E289" s="135"/>
      <c r="F289" s="135"/>
    </row>
    <row r="290" spans="5:6">
      <c r="E290" s="135"/>
      <c r="F290" s="135"/>
    </row>
    <row r="291" spans="5:6">
      <c r="E291" s="135"/>
      <c r="F291" s="135"/>
    </row>
    <row r="292" spans="5:6">
      <c r="E292" s="135"/>
      <c r="F292" s="135"/>
    </row>
    <row r="293" spans="5:6">
      <c r="E293" s="135"/>
      <c r="F293" s="135"/>
    </row>
    <row r="294" spans="5:6">
      <c r="E294" s="135"/>
      <c r="F294" s="135"/>
    </row>
    <row r="295" spans="5:6">
      <c r="E295" s="135"/>
      <c r="F295" s="135"/>
    </row>
    <row r="296" spans="5:6">
      <c r="E296" s="135"/>
      <c r="F296" s="135"/>
    </row>
    <row r="297" spans="5:6">
      <c r="E297" s="135"/>
      <c r="F297" s="135"/>
    </row>
    <row r="298" spans="5:6">
      <c r="E298" s="135"/>
      <c r="F298" s="135"/>
    </row>
    <row r="299" spans="5:6">
      <c r="E299" s="135"/>
      <c r="F299" s="135"/>
    </row>
    <row r="300" spans="5:6">
      <c r="E300" s="135"/>
      <c r="F300" s="135"/>
    </row>
    <row r="301" spans="5:6">
      <c r="E301" s="135"/>
      <c r="F301" s="135"/>
    </row>
    <row r="302" spans="5:6">
      <c r="E302" s="135"/>
      <c r="F302" s="135"/>
    </row>
    <row r="303" spans="5:6">
      <c r="E303" s="135"/>
      <c r="F303" s="135"/>
    </row>
    <row r="304" spans="5:6">
      <c r="E304" s="135"/>
      <c r="F304" s="135"/>
    </row>
    <row r="305" spans="5:6">
      <c r="E305" s="135"/>
      <c r="F305" s="135"/>
    </row>
    <row r="306" spans="5:6">
      <c r="E306" s="135"/>
      <c r="F306" s="135"/>
    </row>
    <row r="307" spans="5:6">
      <c r="E307" s="135"/>
      <c r="F307" s="135"/>
    </row>
    <row r="308" spans="5:6">
      <c r="E308" s="135"/>
      <c r="F308" s="135"/>
    </row>
    <row r="309" spans="5:6">
      <c r="E309" s="135"/>
      <c r="F309" s="135"/>
    </row>
    <row r="310" spans="5:6">
      <c r="E310" s="135"/>
      <c r="F310" s="135"/>
    </row>
    <row r="311" spans="5:6">
      <c r="E311" s="135"/>
      <c r="F311" s="135"/>
    </row>
    <row r="312" spans="5:6">
      <c r="E312" s="135"/>
      <c r="F312" s="135"/>
    </row>
    <row r="313" spans="5:6">
      <c r="E313" s="135"/>
      <c r="F313" s="135"/>
    </row>
    <row r="314" spans="5:6">
      <c r="E314" s="135"/>
      <c r="F314" s="135"/>
    </row>
    <row r="315" spans="5:6">
      <c r="E315" s="135"/>
      <c r="F315" s="135"/>
    </row>
    <row r="316" spans="5:6">
      <c r="E316" s="135"/>
      <c r="F316" s="135"/>
    </row>
    <row r="317" spans="5:6">
      <c r="E317" s="135"/>
      <c r="F317" s="135"/>
    </row>
    <row r="318" spans="5:6">
      <c r="E318" s="135"/>
      <c r="F318" s="135"/>
    </row>
    <row r="319" spans="5:6">
      <c r="E319" s="135"/>
      <c r="F319" s="135"/>
    </row>
    <row r="320" spans="5:6">
      <c r="E320" s="135"/>
      <c r="F320" s="135"/>
    </row>
    <row r="321" spans="5:6">
      <c r="E321" s="135"/>
      <c r="F321" s="135"/>
    </row>
    <row r="322" spans="5:6">
      <c r="E322" s="135"/>
      <c r="F322" s="135"/>
    </row>
    <row r="323" spans="5:6">
      <c r="E323" s="135"/>
      <c r="F323" s="135"/>
    </row>
    <row r="324" spans="5:6">
      <c r="E324" s="135"/>
      <c r="F324" s="135"/>
    </row>
    <row r="325" spans="5:6">
      <c r="E325" s="135"/>
      <c r="F325" s="135"/>
    </row>
    <row r="326" spans="5:6">
      <c r="E326" s="135"/>
      <c r="F326" s="135"/>
    </row>
    <row r="327" spans="5:6">
      <c r="E327" s="135"/>
      <c r="F327" s="135"/>
    </row>
    <row r="328" spans="5:6">
      <c r="E328" s="135"/>
      <c r="F328" s="135"/>
    </row>
    <row r="329" spans="5:6">
      <c r="E329" s="135"/>
      <c r="F329" s="135"/>
    </row>
    <row r="330" spans="5:6">
      <c r="E330" s="135"/>
      <c r="F330" s="135"/>
    </row>
    <row r="331" spans="5:6">
      <c r="E331" s="135"/>
      <c r="F331" s="135"/>
    </row>
    <row r="332" spans="5:6">
      <c r="E332" s="135"/>
      <c r="F332" s="135"/>
    </row>
    <row r="333" spans="5:6">
      <c r="E333" s="135"/>
      <c r="F333" s="135"/>
    </row>
    <row r="334" spans="5:6">
      <c r="E334" s="135"/>
      <c r="F334" s="135"/>
    </row>
    <row r="335" spans="5:6">
      <c r="E335" s="135"/>
      <c r="F335" s="135"/>
    </row>
    <row r="336" spans="5:6">
      <c r="E336" s="135"/>
      <c r="F336" s="135"/>
    </row>
    <row r="337" spans="5:6">
      <c r="E337" s="135"/>
      <c r="F337" s="135"/>
    </row>
    <row r="338" spans="5:6">
      <c r="E338" s="135"/>
      <c r="F338" s="135"/>
    </row>
    <row r="339" spans="5:6">
      <c r="E339" s="135"/>
      <c r="F339" s="135"/>
    </row>
    <row r="340" spans="5:6">
      <c r="E340" s="135"/>
      <c r="F340" s="135"/>
    </row>
    <row r="341" spans="5:6">
      <c r="E341" s="135"/>
      <c r="F341" s="135"/>
    </row>
    <row r="342" spans="5:6">
      <c r="E342" s="135"/>
      <c r="F342" s="135"/>
    </row>
    <row r="343" spans="5:6">
      <c r="E343" s="135"/>
      <c r="F343" s="135"/>
    </row>
    <row r="344" spans="5:6">
      <c r="E344" s="135"/>
      <c r="F344" s="135"/>
    </row>
    <row r="345" spans="5:6">
      <c r="E345" s="135"/>
      <c r="F345" s="135"/>
    </row>
    <row r="346" spans="5:6">
      <c r="E346" s="135"/>
      <c r="F346" s="135"/>
    </row>
    <row r="347" spans="5:6">
      <c r="E347" s="135"/>
      <c r="F347" s="135"/>
    </row>
    <row r="348" spans="5:6">
      <c r="E348" s="135"/>
      <c r="F348" s="135"/>
    </row>
    <row r="349" spans="5:6">
      <c r="E349" s="135"/>
      <c r="F349" s="135"/>
    </row>
    <row r="350" spans="5:6">
      <c r="E350" s="135"/>
      <c r="F350" s="135"/>
    </row>
    <row r="351" spans="5:6">
      <c r="E351" s="135"/>
      <c r="F351" s="135"/>
    </row>
    <row r="352" spans="5:6">
      <c r="E352" s="135"/>
      <c r="F352" s="135"/>
    </row>
    <row r="353" spans="5:6">
      <c r="E353" s="135"/>
      <c r="F353" s="135"/>
    </row>
    <row r="354" spans="5:6">
      <c r="E354" s="135"/>
      <c r="F354" s="135"/>
    </row>
    <row r="355" spans="5:6">
      <c r="E355" s="135"/>
      <c r="F355" s="135"/>
    </row>
    <row r="356" spans="5:6">
      <c r="E356" s="135"/>
      <c r="F356" s="135"/>
    </row>
    <row r="357" spans="5:6">
      <c r="E357" s="135"/>
      <c r="F357" s="135"/>
    </row>
    <row r="358" spans="5:6">
      <c r="E358" s="135"/>
      <c r="F358" s="135"/>
    </row>
    <row r="359" spans="5:6">
      <c r="E359" s="135"/>
      <c r="F359" s="135"/>
    </row>
    <row r="360" spans="5:6">
      <c r="E360" s="135"/>
      <c r="F360" s="135"/>
    </row>
    <row r="361" spans="5:6">
      <c r="E361" s="135"/>
      <c r="F361" s="135"/>
    </row>
    <row r="362" spans="5:6">
      <c r="E362" s="135"/>
      <c r="F362" s="135"/>
    </row>
    <row r="363" spans="5:6">
      <c r="E363" s="135"/>
      <c r="F363" s="135"/>
    </row>
    <row r="364" spans="5:6">
      <c r="E364" s="135"/>
      <c r="F364" s="135"/>
    </row>
    <row r="365" spans="5:6">
      <c r="E365" s="135"/>
      <c r="F365" s="135"/>
    </row>
    <row r="366" spans="5:6">
      <c r="E366" s="135"/>
      <c r="F366" s="135"/>
    </row>
    <row r="367" spans="5:6">
      <c r="E367" s="135"/>
      <c r="F367" s="135"/>
    </row>
    <row r="368" spans="5:6">
      <c r="E368" s="135"/>
      <c r="F368" s="135"/>
    </row>
    <row r="369" spans="5:6">
      <c r="E369" s="135"/>
      <c r="F369" s="135"/>
    </row>
    <row r="370" spans="5:6">
      <c r="E370" s="135"/>
      <c r="F370" s="135"/>
    </row>
    <row r="371" spans="5:6">
      <c r="E371" s="135"/>
      <c r="F371" s="135"/>
    </row>
    <row r="372" spans="5:6">
      <c r="E372" s="135"/>
      <c r="F372" s="135"/>
    </row>
    <row r="373" spans="5:6">
      <c r="E373" s="135"/>
      <c r="F373" s="135"/>
    </row>
    <row r="374" spans="5:6">
      <c r="E374" s="135"/>
      <c r="F374" s="135"/>
    </row>
    <row r="375" spans="5:6">
      <c r="E375" s="135"/>
      <c r="F375" s="135"/>
    </row>
    <row r="376" spans="5:6">
      <c r="E376" s="135"/>
      <c r="F376" s="135"/>
    </row>
    <row r="377" spans="5:6">
      <c r="E377" s="135"/>
      <c r="F377" s="135"/>
    </row>
    <row r="378" spans="5:6">
      <c r="E378" s="135"/>
      <c r="F378" s="135"/>
    </row>
    <row r="379" spans="5:6">
      <c r="E379" s="135"/>
      <c r="F379" s="135"/>
    </row>
    <row r="380" spans="5:6">
      <c r="E380" s="135"/>
      <c r="F380" s="135"/>
    </row>
    <row r="381" spans="5:6">
      <c r="E381" s="135"/>
      <c r="F381" s="135"/>
    </row>
    <row r="382" spans="5:6">
      <c r="E382" s="135"/>
      <c r="F382" s="135"/>
    </row>
    <row r="383" spans="5:6">
      <c r="E383" s="135"/>
      <c r="F383" s="135"/>
    </row>
    <row r="384" spans="5:6">
      <c r="E384" s="135"/>
      <c r="F384" s="135"/>
    </row>
    <row r="385" spans="5:6">
      <c r="E385" s="135"/>
      <c r="F385" s="135"/>
    </row>
    <row r="386" spans="5:6">
      <c r="E386" s="135"/>
      <c r="F386" s="135"/>
    </row>
    <row r="387" spans="5:6">
      <c r="E387" s="135"/>
      <c r="F387" s="135"/>
    </row>
    <row r="388" spans="5:6">
      <c r="E388" s="135"/>
      <c r="F388" s="135"/>
    </row>
    <row r="389" spans="5:6">
      <c r="E389" s="135"/>
      <c r="F389" s="135"/>
    </row>
    <row r="390" spans="5:6">
      <c r="E390" s="135"/>
      <c r="F390" s="135"/>
    </row>
    <row r="391" spans="5:6">
      <c r="E391" s="135"/>
      <c r="F391" s="135"/>
    </row>
    <row r="392" spans="5:6">
      <c r="E392" s="135"/>
      <c r="F392" s="135"/>
    </row>
    <row r="393" spans="5:6">
      <c r="E393" s="135"/>
      <c r="F393" s="135"/>
    </row>
    <row r="394" spans="5:6">
      <c r="E394" s="135"/>
      <c r="F394" s="135"/>
    </row>
    <row r="395" spans="5:6">
      <c r="E395" s="135"/>
      <c r="F395" s="135"/>
    </row>
    <row r="396" spans="5:6">
      <c r="E396" s="135"/>
      <c r="F396" s="135"/>
    </row>
    <row r="397" spans="5:6">
      <c r="E397" s="135"/>
      <c r="F397" s="135"/>
    </row>
    <row r="398" spans="5:6">
      <c r="E398" s="135"/>
      <c r="F398" s="135"/>
    </row>
    <row r="399" spans="5:6">
      <c r="E399" s="135"/>
      <c r="F399" s="135"/>
    </row>
    <row r="400" spans="5:6">
      <c r="E400" s="135"/>
      <c r="F400" s="135"/>
    </row>
    <row r="401" spans="5:6">
      <c r="E401" s="135"/>
      <c r="F401" s="135"/>
    </row>
    <row r="402" spans="5:6">
      <c r="E402" s="135"/>
      <c r="F402" s="135"/>
    </row>
    <row r="403" spans="5:6">
      <c r="E403" s="135"/>
      <c r="F403" s="135"/>
    </row>
    <row r="404" spans="5:6">
      <c r="E404" s="135"/>
      <c r="F404" s="135"/>
    </row>
    <row r="405" spans="5:6">
      <c r="E405" s="135"/>
      <c r="F405" s="135"/>
    </row>
    <row r="406" spans="5:6">
      <c r="E406" s="135"/>
      <c r="F406" s="135"/>
    </row>
    <row r="407" spans="5:6">
      <c r="E407" s="135"/>
      <c r="F407" s="135"/>
    </row>
    <row r="408" spans="5:6">
      <c r="E408" s="135"/>
      <c r="F408" s="135"/>
    </row>
    <row r="409" spans="5:6">
      <c r="E409" s="135"/>
      <c r="F409" s="135"/>
    </row>
    <row r="410" spans="5:6">
      <c r="E410" s="135"/>
      <c r="F410" s="135"/>
    </row>
    <row r="411" spans="5:6">
      <c r="E411" s="135"/>
      <c r="F411" s="135"/>
    </row>
    <row r="412" spans="5:6">
      <c r="E412" s="135"/>
      <c r="F412" s="135"/>
    </row>
    <row r="413" spans="5:6">
      <c r="E413" s="135"/>
      <c r="F413" s="135"/>
    </row>
    <row r="414" spans="5:6">
      <c r="E414" s="135"/>
      <c r="F414" s="135"/>
    </row>
    <row r="415" spans="5:6">
      <c r="E415" s="135"/>
      <c r="F415" s="135"/>
    </row>
    <row r="416" spans="5:6">
      <c r="E416" s="135"/>
      <c r="F416" s="135"/>
    </row>
    <row r="417" spans="5:6">
      <c r="E417" s="135"/>
      <c r="F417" s="135"/>
    </row>
    <row r="418" spans="5:6">
      <c r="E418" s="135"/>
      <c r="F418" s="135"/>
    </row>
    <row r="419" spans="5:6">
      <c r="E419" s="135"/>
      <c r="F419" s="135"/>
    </row>
    <row r="420" spans="5:6">
      <c r="E420" s="135"/>
      <c r="F420" s="135"/>
    </row>
    <row r="421" spans="5:6">
      <c r="E421" s="135"/>
      <c r="F421" s="135"/>
    </row>
    <row r="422" spans="5:6">
      <c r="E422" s="135"/>
      <c r="F422" s="135"/>
    </row>
    <row r="423" spans="5:6">
      <c r="E423" s="135"/>
      <c r="F423" s="135"/>
    </row>
    <row r="424" spans="5:6">
      <c r="E424" s="135"/>
      <c r="F424" s="135"/>
    </row>
    <row r="425" spans="5:6">
      <c r="E425" s="135"/>
      <c r="F425" s="135"/>
    </row>
    <row r="426" spans="5:6">
      <c r="E426" s="135"/>
      <c r="F426" s="135"/>
    </row>
    <row r="427" spans="5:6">
      <c r="E427" s="135"/>
      <c r="F427" s="135"/>
    </row>
    <row r="428" spans="5:6">
      <c r="E428" s="135"/>
      <c r="F428" s="135"/>
    </row>
    <row r="429" spans="5:6">
      <c r="E429" s="135"/>
      <c r="F429" s="135"/>
    </row>
    <row r="430" spans="5:6">
      <c r="E430" s="135"/>
      <c r="F430" s="135"/>
    </row>
    <row r="431" spans="5:6">
      <c r="E431" s="135"/>
      <c r="F431" s="135"/>
    </row>
    <row r="432" spans="5:6">
      <c r="E432" s="135"/>
      <c r="F432" s="135"/>
    </row>
    <row r="433" spans="5:6">
      <c r="E433" s="135"/>
      <c r="F433" s="135"/>
    </row>
    <row r="434" spans="5:6">
      <c r="E434" s="135"/>
      <c r="F434" s="135"/>
    </row>
    <row r="435" spans="5:6">
      <c r="E435" s="135"/>
      <c r="F435" s="135"/>
    </row>
    <row r="436" spans="5:6">
      <c r="E436" s="135"/>
      <c r="F436" s="135"/>
    </row>
    <row r="437" spans="5:6">
      <c r="E437" s="135"/>
      <c r="F437" s="135"/>
    </row>
    <row r="438" spans="5:6">
      <c r="E438" s="135"/>
      <c r="F438" s="135"/>
    </row>
    <row r="439" spans="5:6">
      <c r="E439" s="135"/>
      <c r="F439" s="135"/>
    </row>
    <row r="440" spans="5:6">
      <c r="E440" s="135"/>
      <c r="F440" s="135"/>
    </row>
    <row r="441" spans="5:6">
      <c r="E441" s="135"/>
      <c r="F441" s="135"/>
    </row>
    <row r="442" spans="5:6">
      <c r="E442" s="135"/>
      <c r="F442" s="135"/>
    </row>
    <row r="443" spans="5:6">
      <c r="E443" s="135"/>
      <c r="F443" s="135"/>
    </row>
    <row r="444" spans="5:6">
      <c r="E444" s="135"/>
      <c r="F444" s="135"/>
    </row>
    <row r="445" spans="5:6">
      <c r="E445" s="135"/>
      <c r="F445" s="135"/>
    </row>
    <row r="446" spans="5:6">
      <c r="E446" s="135"/>
      <c r="F446" s="135"/>
    </row>
    <row r="447" spans="5:6">
      <c r="E447" s="135"/>
      <c r="F447" s="135"/>
    </row>
    <row r="448" spans="5:6">
      <c r="E448" s="135"/>
      <c r="F448" s="135"/>
    </row>
    <row r="449" spans="5:6">
      <c r="E449" s="135"/>
      <c r="F449" s="135"/>
    </row>
    <row r="450" spans="5:6">
      <c r="E450" s="135"/>
      <c r="F450" s="135"/>
    </row>
    <row r="451" spans="5:6">
      <c r="E451" s="135"/>
      <c r="F451" s="135"/>
    </row>
    <row r="452" spans="5:6">
      <c r="E452" s="135"/>
      <c r="F452" s="135"/>
    </row>
    <row r="453" spans="5:6">
      <c r="E453" s="135"/>
      <c r="F453" s="135"/>
    </row>
    <row r="454" spans="5:6">
      <c r="E454" s="135"/>
      <c r="F454" s="135"/>
    </row>
    <row r="455" spans="5:6">
      <c r="E455" s="135"/>
      <c r="F455" s="135"/>
    </row>
    <row r="456" spans="5:6">
      <c r="E456" s="135"/>
      <c r="F456" s="135"/>
    </row>
    <row r="457" spans="5:6">
      <c r="E457" s="135"/>
      <c r="F457" s="135"/>
    </row>
    <row r="458" spans="5:6">
      <c r="E458" s="135"/>
      <c r="F458" s="135"/>
    </row>
    <row r="459" spans="5:6">
      <c r="E459" s="135"/>
      <c r="F459" s="135"/>
    </row>
    <row r="460" spans="5:6">
      <c r="E460" s="135"/>
      <c r="F460" s="135"/>
    </row>
    <row r="461" spans="5:6">
      <c r="E461" s="135"/>
      <c r="F461" s="135"/>
    </row>
    <row r="462" spans="5:6">
      <c r="E462" s="135"/>
      <c r="F462" s="135"/>
    </row>
    <row r="463" spans="5:6">
      <c r="E463" s="135"/>
      <c r="F463" s="135"/>
    </row>
    <row r="464" spans="5:6">
      <c r="E464" s="135"/>
      <c r="F464" s="135"/>
    </row>
    <row r="465" spans="5:6">
      <c r="E465" s="135"/>
      <c r="F465" s="135"/>
    </row>
    <row r="466" spans="5:6">
      <c r="E466" s="135"/>
      <c r="F466" s="135"/>
    </row>
    <row r="467" spans="5:6">
      <c r="E467" s="135"/>
      <c r="F467" s="135"/>
    </row>
    <row r="468" spans="5:6">
      <c r="E468" s="135"/>
      <c r="F468" s="135"/>
    </row>
    <row r="469" spans="5:6">
      <c r="E469" s="135"/>
      <c r="F469" s="135"/>
    </row>
    <row r="470" spans="5:6">
      <c r="E470" s="135"/>
      <c r="F470" s="135"/>
    </row>
    <row r="471" spans="5:6">
      <c r="E471" s="135"/>
      <c r="F471" s="135"/>
    </row>
    <row r="472" spans="5:6">
      <c r="E472" s="135"/>
      <c r="F472" s="135"/>
    </row>
    <row r="473" spans="5:6">
      <c r="E473" s="135"/>
      <c r="F473" s="135"/>
    </row>
    <row r="474" spans="5:6">
      <c r="E474" s="135"/>
      <c r="F474" s="135"/>
    </row>
    <row r="475" spans="5:6">
      <c r="E475" s="135"/>
      <c r="F475" s="135"/>
    </row>
    <row r="476" spans="5:6">
      <c r="E476" s="135"/>
      <c r="F476" s="135"/>
    </row>
    <row r="477" spans="5:6">
      <c r="E477" s="135"/>
      <c r="F477" s="135"/>
    </row>
    <row r="478" spans="5:6">
      <c r="E478" s="135"/>
      <c r="F478" s="135"/>
    </row>
    <row r="479" spans="5:6">
      <c r="E479" s="135"/>
      <c r="F479" s="135"/>
    </row>
    <row r="480" spans="5:6">
      <c r="E480" s="135"/>
      <c r="F480" s="135"/>
    </row>
    <row r="481" spans="5:6">
      <c r="E481" s="135"/>
      <c r="F481" s="135"/>
    </row>
    <row r="482" spans="5:6">
      <c r="E482" s="135"/>
      <c r="F482" s="135"/>
    </row>
    <row r="483" spans="5:6">
      <c r="E483" s="135"/>
      <c r="F483" s="135"/>
    </row>
    <row r="484" spans="5:6">
      <c r="E484" s="135"/>
      <c r="F484" s="135"/>
    </row>
    <row r="485" spans="5:6">
      <c r="E485" s="135"/>
      <c r="F485" s="135"/>
    </row>
    <row r="486" spans="5:6">
      <c r="E486" s="135"/>
      <c r="F486" s="135"/>
    </row>
    <row r="487" spans="5:6">
      <c r="E487" s="135"/>
      <c r="F487" s="135"/>
    </row>
    <row r="488" spans="5:6">
      <c r="E488" s="135"/>
      <c r="F488" s="135"/>
    </row>
    <row r="489" spans="5:6">
      <c r="E489" s="135"/>
      <c r="F489" s="135"/>
    </row>
    <row r="490" spans="5:6">
      <c r="E490" s="135"/>
      <c r="F490" s="135"/>
    </row>
    <row r="491" spans="5:6">
      <c r="E491" s="135"/>
      <c r="F491" s="135"/>
    </row>
    <row r="492" spans="5:6">
      <c r="E492" s="135"/>
      <c r="F492" s="135"/>
    </row>
    <row r="493" spans="5:6">
      <c r="E493" s="135"/>
      <c r="F493" s="135"/>
    </row>
    <row r="494" spans="5:6">
      <c r="E494" s="135"/>
      <c r="F494" s="135"/>
    </row>
    <row r="495" spans="5:6">
      <c r="E495" s="135"/>
      <c r="F495" s="135"/>
    </row>
    <row r="496" spans="5:6">
      <c r="E496" s="135"/>
      <c r="F496" s="135"/>
    </row>
    <row r="497" spans="5:6">
      <c r="E497" s="135"/>
      <c r="F497" s="135"/>
    </row>
    <row r="498" spans="5:6">
      <c r="E498" s="135"/>
      <c r="F498" s="135"/>
    </row>
    <row r="499" spans="5:6">
      <c r="E499" s="135"/>
      <c r="F499" s="135"/>
    </row>
    <row r="500" spans="5:6">
      <c r="E500" s="135"/>
      <c r="F500" s="135"/>
    </row>
    <row r="501" spans="5:6">
      <c r="E501" s="135"/>
      <c r="F501" s="135"/>
    </row>
    <row r="502" spans="5:6">
      <c r="E502" s="135"/>
      <c r="F502" s="135"/>
    </row>
    <row r="503" spans="5:6">
      <c r="E503" s="135"/>
      <c r="F503" s="135"/>
    </row>
    <row r="504" spans="5:6">
      <c r="E504" s="135"/>
      <c r="F504" s="135"/>
    </row>
    <row r="505" spans="5:6">
      <c r="E505" s="135"/>
      <c r="F505" s="135"/>
    </row>
    <row r="506" spans="5:6">
      <c r="E506" s="135"/>
      <c r="F506" s="135"/>
    </row>
    <row r="507" spans="5:6">
      <c r="E507" s="135"/>
      <c r="F507" s="135"/>
    </row>
    <row r="508" spans="5:6">
      <c r="E508" s="135"/>
      <c r="F508" s="135"/>
    </row>
    <row r="509" spans="5:6">
      <c r="E509" s="135"/>
      <c r="F509" s="135"/>
    </row>
    <row r="510" spans="5:6">
      <c r="E510" s="135"/>
      <c r="F510" s="135"/>
    </row>
    <row r="511" spans="5:6">
      <c r="E511" s="135"/>
      <c r="F511" s="135"/>
    </row>
    <row r="512" spans="5:6">
      <c r="E512" s="135"/>
      <c r="F512" s="135"/>
    </row>
    <row r="513" spans="5:6">
      <c r="E513" s="135"/>
      <c r="F513" s="135"/>
    </row>
    <row r="514" spans="5:6">
      <c r="E514" s="135"/>
      <c r="F514" s="135"/>
    </row>
    <row r="515" spans="5:6">
      <c r="E515" s="135"/>
      <c r="F515" s="135"/>
    </row>
    <row r="516" spans="5:6">
      <c r="E516" s="135"/>
      <c r="F516" s="135"/>
    </row>
    <row r="517" spans="5:6">
      <c r="E517" s="135"/>
      <c r="F517" s="135"/>
    </row>
    <row r="518" spans="5:6">
      <c r="E518" s="135"/>
      <c r="F518" s="135"/>
    </row>
    <row r="519" spans="5:6">
      <c r="E519" s="135"/>
      <c r="F519" s="135"/>
    </row>
    <row r="520" spans="5:6">
      <c r="E520" s="135"/>
      <c r="F520" s="135"/>
    </row>
    <row r="521" spans="5:6">
      <c r="E521" s="135"/>
      <c r="F521" s="135"/>
    </row>
    <row r="522" spans="5:6">
      <c r="E522" s="135"/>
      <c r="F522" s="135"/>
    </row>
    <row r="523" spans="5:6">
      <c r="E523" s="135"/>
      <c r="F523" s="135"/>
    </row>
    <row r="524" spans="5:6">
      <c r="E524" s="135"/>
      <c r="F524" s="135"/>
    </row>
    <row r="525" spans="5:6">
      <c r="E525" s="135"/>
      <c r="F525" s="135"/>
    </row>
    <row r="526" spans="5:6">
      <c r="E526" s="135"/>
      <c r="F526" s="135"/>
    </row>
    <row r="527" spans="5:6">
      <c r="E527" s="135"/>
      <c r="F527" s="135"/>
    </row>
    <row r="528" spans="5:6">
      <c r="E528" s="135"/>
      <c r="F528" s="135"/>
    </row>
    <row r="529" spans="5:6">
      <c r="E529" s="135"/>
      <c r="F529" s="135"/>
    </row>
    <row r="530" spans="5:6">
      <c r="E530" s="135"/>
      <c r="F530" s="135"/>
    </row>
    <row r="531" spans="5:6">
      <c r="E531" s="135"/>
      <c r="F531" s="135"/>
    </row>
    <row r="532" spans="5:6">
      <c r="E532" s="135"/>
      <c r="F532" s="135"/>
    </row>
    <row r="533" spans="5:6">
      <c r="E533" s="135"/>
      <c r="F533" s="135"/>
    </row>
    <row r="534" spans="5:6">
      <c r="E534" s="135"/>
      <c r="F534" s="135"/>
    </row>
    <row r="535" spans="5:6">
      <c r="E535" s="135"/>
      <c r="F535" s="135"/>
    </row>
    <row r="536" spans="5:6">
      <c r="E536" s="135"/>
      <c r="F536" s="135"/>
    </row>
    <row r="537" spans="5:6">
      <c r="E537" s="135"/>
      <c r="F537" s="135"/>
    </row>
    <row r="538" spans="5:6">
      <c r="E538" s="135"/>
      <c r="F538" s="135"/>
    </row>
    <row r="539" spans="5:6">
      <c r="E539" s="135"/>
      <c r="F539" s="135"/>
    </row>
    <row r="540" spans="5:6">
      <c r="E540" s="135"/>
      <c r="F540" s="135"/>
    </row>
    <row r="541" spans="5:6">
      <c r="E541" s="135"/>
      <c r="F541" s="135"/>
    </row>
    <row r="542" spans="5:6">
      <c r="E542" s="135"/>
      <c r="F542" s="135"/>
    </row>
    <row r="543" spans="5:6">
      <c r="E543" s="135"/>
      <c r="F543" s="135"/>
    </row>
    <row r="544" spans="5:6">
      <c r="E544" s="135"/>
      <c r="F544" s="135"/>
    </row>
    <row r="545" spans="5:6">
      <c r="E545" s="135"/>
      <c r="F545" s="135"/>
    </row>
    <row r="546" spans="5:6">
      <c r="E546" s="135"/>
      <c r="F546" s="135"/>
    </row>
    <row r="547" spans="5:6">
      <c r="E547" s="135"/>
      <c r="F547" s="135"/>
    </row>
    <row r="548" spans="5:6">
      <c r="E548" s="135"/>
      <c r="F548" s="135"/>
    </row>
    <row r="549" spans="5:6">
      <c r="E549" s="135"/>
      <c r="F549" s="135"/>
    </row>
    <row r="550" spans="5:6">
      <c r="E550" s="135"/>
      <c r="F550" s="135"/>
    </row>
    <row r="551" spans="5:6">
      <c r="E551" s="135"/>
      <c r="F551" s="135"/>
    </row>
    <row r="552" spans="5:6">
      <c r="E552" s="135"/>
      <c r="F552" s="135"/>
    </row>
    <row r="553" spans="5:6">
      <c r="E553" s="135"/>
      <c r="F553" s="135"/>
    </row>
    <row r="554" spans="5:6">
      <c r="E554" s="135"/>
      <c r="F554" s="135"/>
    </row>
    <row r="555" spans="5:6">
      <c r="E555" s="135"/>
      <c r="F555" s="135"/>
    </row>
    <row r="556" spans="5:6">
      <c r="E556" s="135"/>
      <c r="F556" s="135"/>
    </row>
    <row r="557" spans="5:6">
      <c r="E557" s="135"/>
      <c r="F557" s="135"/>
    </row>
    <row r="558" spans="5:6">
      <c r="E558" s="135"/>
      <c r="F558" s="135"/>
    </row>
    <row r="559" spans="5:6">
      <c r="E559" s="135"/>
      <c r="F559" s="135"/>
    </row>
    <row r="560" spans="5:6">
      <c r="E560" s="135"/>
      <c r="F560" s="135"/>
    </row>
    <row r="561" spans="5:6">
      <c r="E561" s="135"/>
      <c r="F561" s="135"/>
    </row>
    <row r="562" spans="5:6">
      <c r="E562" s="135"/>
      <c r="F562" s="135"/>
    </row>
    <row r="563" spans="5:6">
      <c r="E563" s="135"/>
      <c r="F563" s="135"/>
    </row>
    <row r="564" spans="5:6">
      <c r="E564" s="135"/>
      <c r="F564" s="135"/>
    </row>
    <row r="565" spans="5:6">
      <c r="E565" s="135"/>
      <c r="F565" s="135"/>
    </row>
    <row r="566" spans="5:6">
      <c r="E566" s="135"/>
      <c r="F566" s="135"/>
    </row>
    <row r="567" spans="5:6">
      <c r="E567" s="135"/>
      <c r="F567" s="135"/>
    </row>
    <row r="568" spans="5:6">
      <c r="E568" s="135"/>
      <c r="F568" s="135"/>
    </row>
    <row r="569" spans="5:6">
      <c r="E569" s="135"/>
      <c r="F569" s="135"/>
    </row>
    <row r="570" spans="5:6">
      <c r="E570" s="135"/>
      <c r="F570" s="135"/>
    </row>
    <row r="571" spans="5:6">
      <c r="E571" s="135"/>
      <c r="F571" s="135"/>
    </row>
    <row r="572" spans="5:6">
      <c r="E572" s="135"/>
      <c r="F572" s="135"/>
    </row>
    <row r="573" spans="5:6">
      <c r="E573" s="135"/>
      <c r="F573" s="135"/>
    </row>
    <row r="574" spans="5:6">
      <c r="E574" s="135"/>
      <c r="F574" s="135"/>
    </row>
    <row r="575" spans="5:6">
      <c r="E575" s="135"/>
      <c r="F575" s="135"/>
    </row>
    <row r="576" spans="5:6">
      <c r="E576" s="135"/>
      <c r="F576" s="135"/>
    </row>
    <row r="577" spans="5:6">
      <c r="E577" s="135"/>
      <c r="F577" s="135"/>
    </row>
    <row r="578" spans="5:6">
      <c r="E578" s="135"/>
      <c r="F578" s="135"/>
    </row>
    <row r="579" spans="5:6">
      <c r="E579" s="135"/>
      <c r="F579" s="135"/>
    </row>
    <row r="580" spans="5:6">
      <c r="E580" s="135"/>
      <c r="F580" s="135"/>
    </row>
    <row r="581" spans="5:6">
      <c r="E581" s="135"/>
      <c r="F581" s="135"/>
    </row>
    <row r="582" spans="5:6">
      <c r="E582" s="135"/>
      <c r="F582" s="135"/>
    </row>
    <row r="583" spans="5:6">
      <c r="E583" s="135"/>
      <c r="F583" s="135"/>
    </row>
    <row r="584" spans="5:6">
      <c r="E584" s="135"/>
      <c r="F584" s="135"/>
    </row>
    <row r="585" spans="5:6">
      <c r="E585" s="135"/>
      <c r="F585" s="135"/>
    </row>
    <row r="586" spans="5:6">
      <c r="E586" s="135"/>
      <c r="F586" s="135"/>
    </row>
    <row r="587" spans="5:6">
      <c r="E587" s="135"/>
      <c r="F587" s="135"/>
    </row>
    <row r="588" spans="5:6">
      <c r="E588" s="135"/>
      <c r="F588" s="135"/>
    </row>
    <row r="589" spans="5:6">
      <c r="E589" s="135"/>
      <c r="F589" s="135"/>
    </row>
    <row r="590" spans="5:6">
      <c r="E590" s="135"/>
      <c r="F590" s="135"/>
    </row>
    <row r="591" spans="5:6">
      <c r="E591" s="135"/>
      <c r="F591" s="135"/>
    </row>
    <row r="592" spans="5:6">
      <c r="E592" s="135"/>
      <c r="F592" s="135"/>
    </row>
    <row r="593" spans="5:6">
      <c r="E593" s="135"/>
      <c r="F593" s="135"/>
    </row>
    <row r="594" spans="5:6">
      <c r="E594" s="135"/>
      <c r="F594" s="135"/>
    </row>
    <row r="595" spans="5:6">
      <c r="E595" s="135"/>
      <c r="F595" s="135"/>
    </row>
    <row r="596" spans="5:6">
      <c r="E596" s="135"/>
      <c r="F596" s="135"/>
    </row>
  </sheetData>
  <sheetProtection selectLockedCells="1"/>
  <autoFilter ref="E1:I596" xr:uid="{573EC5A6-A2E3-4805-8333-7A2A6EEFE085}"/>
  <dataValidations count="2">
    <dataValidation type="custom" showInputMessage="1" showErrorMessage="1" errorTitle="ERRO!" error="Valor tem de ser um número maior ou igual a zero. " promptTitle="Valor em kwanzas" prompt="Insira um valor em kwanzas maior ou igual a zero!" sqref="G2:H161" xr:uid="{583D2542-65EE-4FC9-B761-84C50BC2E28D}">
      <formula1>AND(ISNUMBER(G2)=TRUE,G2&gt;=0)</formula1>
    </dataValidation>
    <dataValidation type="custom" showInputMessage="1" showErrorMessage="1" sqref="G1:H1 G162:H65468" xr:uid="{3C84331A-0FCB-4138-83EA-8E7A6DF52B43}">
      <formula1>G:H&gt;0</formula1>
    </dataValidation>
  </dataValidations>
  <pageMargins left="0.25" right="0.25" top="0.75" bottom="0.75" header="0.3" footer="0.3"/>
  <pageSetup paperSize="9" scale="86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64DD82-C267-4B7C-96BC-11CA0E1E7786}">
  <sheetPr>
    <pageSetUpPr fitToPage="1"/>
  </sheetPr>
  <dimension ref="A1:I75"/>
  <sheetViews>
    <sheetView zoomScale="85" zoomScaleNormal="85" workbookViewId="0">
      <pane ySplit="1" topLeftCell="A2" activePane="bottomLeft" state="frozen"/>
      <selection pane="bottomLeft" activeCell="F65" sqref="F65"/>
      <selection activeCell="C3" sqref="C3"/>
    </sheetView>
  </sheetViews>
  <sheetFormatPr defaultRowHeight="15"/>
  <cols>
    <col min="1" max="1" width="12" customWidth="1"/>
    <col min="2" max="2" width="45.28515625" bestFit="1" customWidth="1"/>
    <col min="3" max="3" width="17.7109375" customWidth="1"/>
    <col min="4" max="4" width="75.85546875" bestFit="1" customWidth="1"/>
    <col min="5" max="5" width="14.7109375" bestFit="1" customWidth="1"/>
    <col min="6" max="6" width="63.28515625" bestFit="1" customWidth="1"/>
    <col min="7" max="8" width="20.28515625" bestFit="1" customWidth="1"/>
    <col min="9" max="9" width="19.42578125" bestFit="1" customWidth="1"/>
  </cols>
  <sheetData>
    <row r="1" spans="1:9" ht="33.75" thickBot="1">
      <c r="A1" s="87" t="s">
        <v>0</v>
      </c>
      <c r="B1" s="88" t="s">
        <v>1</v>
      </c>
      <c r="C1" s="88" t="s">
        <v>2</v>
      </c>
      <c r="D1" s="88" t="s">
        <v>3</v>
      </c>
      <c r="E1" s="89" t="s">
        <v>4</v>
      </c>
      <c r="F1" s="90" t="s">
        <v>5</v>
      </c>
      <c r="G1" s="3" t="s">
        <v>6</v>
      </c>
      <c r="H1" s="3" t="s">
        <v>7</v>
      </c>
      <c r="I1" s="3" t="s">
        <v>8</v>
      </c>
    </row>
    <row r="2" spans="1:9" ht="16.5">
      <c r="A2" s="82" t="str">
        <f t="shared" ref="A2:A33" si="0">+LEFT(E2,3)</f>
        <v>2.2</v>
      </c>
      <c r="B2" s="49" t="s">
        <v>383</v>
      </c>
      <c r="C2" s="49" t="str">
        <f t="shared" ref="C2:C33" si="1">+LEFT(E2,7)</f>
        <v>2.20.10</v>
      </c>
      <c r="D2" s="49" t="s">
        <v>384</v>
      </c>
      <c r="E2" s="15" t="s">
        <v>385</v>
      </c>
      <c r="F2" s="16" t="s">
        <v>386</v>
      </c>
      <c r="G2" s="5">
        <v>0</v>
      </c>
      <c r="H2" s="5">
        <v>0</v>
      </c>
      <c r="I2" s="6">
        <f t="shared" ref="I2:I21" si="2">H2-G2</f>
        <v>0</v>
      </c>
    </row>
    <row r="3" spans="1:9" ht="16.5">
      <c r="A3" s="82" t="str">
        <f t="shared" si="0"/>
        <v>2.2</v>
      </c>
      <c r="B3" s="49" t="s">
        <v>383</v>
      </c>
      <c r="C3" s="49" t="str">
        <f t="shared" si="1"/>
        <v>2.20.10</v>
      </c>
      <c r="D3" s="49" t="s">
        <v>384</v>
      </c>
      <c r="E3" s="15" t="s">
        <v>387</v>
      </c>
      <c r="F3" s="16" t="s">
        <v>388</v>
      </c>
      <c r="G3" s="5">
        <v>0</v>
      </c>
      <c r="H3" s="5">
        <v>0</v>
      </c>
      <c r="I3" s="6">
        <f t="shared" si="2"/>
        <v>0</v>
      </c>
    </row>
    <row r="4" spans="1:9" ht="16.5">
      <c r="A4" s="82" t="str">
        <f t="shared" si="0"/>
        <v>2.2</v>
      </c>
      <c r="B4" s="49" t="s">
        <v>383</v>
      </c>
      <c r="C4" s="49" t="str">
        <f t="shared" si="1"/>
        <v>2.20.10</v>
      </c>
      <c r="D4" s="49" t="s">
        <v>384</v>
      </c>
      <c r="E4" s="15" t="s">
        <v>389</v>
      </c>
      <c r="F4" s="16" t="s">
        <v>72</v>
      </c>
      <c r="G4" s="5">
        <v>0</v>
      </c>
      <c r="H4" s="5">
        <v>0</v>
      </c>
      <c r="I4" s="6">
        <f t="shared" si="2"/>
        <v>0</v>
      </c>
    </row>
    <row r="5" spans="1:9" ht="16.5">
      <c r="A5" s="82" t="str">
        <f t="shared" si="0"/>
        <v>2.2</v>
      </c>
      <c r="B5" s="49" t="s">
        <v>383</v>
      </c>
      <c r="C5" s="49" t="str">
        <f t="shared" si="1"/>
        <v>2.20.10</v>
      </c>
      <c r="D5" s="49" t="s">
        <v>384</v>
      </c>
      <c r="E5" s="15" t="s">
        <v>390</v>
      </c>
      <c r="F5" s="16" t="s">
        <v>39</v>
      </c>
      <c r="G5" s="5">
        <v>0</v>
      </c>
      <c r="H5" s="5">
        <v>0</v>
      </c>
      <c r="I5" s="6">
        <f t="shared" si="2"/>
        <v>0</v>
      </c>
    </row>
    <row r="6" spans="1:9" ht="16.5">
      <c r="A6" s="82" t="str">
        <f t="shared" si="0"/>
        <v>2.2</v>
      </c>
      <c r="B6" s="49" t="s">
        <v>383</v>
      </c>
      <c r="C6" s="49" t="str">
        <f t="shared" si="1"/>
        <v>2.20.20</v>
      </c>
      <c r="D6" s="49" t="s">
        <v>391</v>
      </c>
      <c r="E6" s="15" t="s">
        <v>392</v>
      </c>
      <c r="F6" s="16" t="s">
        <v>386</v>
      </c>
      <c r="G6" s="5">
        <v>0</v>
      </c>
      <c r="H6" s="5">
        <v>0</v>
      </c>
      <c r="I6" s="6">
        <f t="shared" si="2"/>
        <v>0</v>
      </c>
    </row>
    <row r="7" spans="1:9" ht="16.5">
      <c r="A7" s="82" t="str">
        <f t="shared" si="0"/>
        <v>2.2</v>
      </c>
      <c r="B7" s="49" t="s">
        <v>383</v>
      </c>
      <c r="C7" s="49" t="str">
        <f t="shared" si="1"/>
        <v>2.20.30</v>
      </c>
      <c r="D7" s="49" t="s">
        <v>391</v>
      </c>
      <c r="E7" s="15" t="s">
        <v>393</v>
      </c>
      <c r="F7" s="16" t="s">
        <v>388</v>
      </c>
      <c r="G7" s="5">
        <v>0</v>
      </c>
      <c r="H7" s="5">
        <v>0</v>
      </c>
      <c r="I7" s="6">
        <f t="shared" si="2"/>
        <v>0</v>
      </c>
    </row>
    <row r="8" spans="1:9" ht="16.5">
      <c r="A8" s="82" t="str">
        <f t="shared" si="0"/>
        <v>2.2</v>
      </c>
      <c r="B8" s="49" t="s">
        <v>383</v>
      </c>
      <c r="C8" s="49" t="str">
        <f t="shared" si="1"/>
        <v>2.20.30</v>
      </c>
      <c r="D8" s="49" t="s">
        <v>391</v>
      </c>
      <c r="E8" s="15" t="s">
        <v>394</v>
      </c>
      <c r="F8" s="16" t="s">
        <v>72</v>
      </c>
      <c r="G8" s="5">
        <v>0</v>
      </c>
      <c r="H8" s="5">
        <v>0</v>
      </c>
      <c r="I8" s="6">
        <f t="shared" si="2"/>
        <v>0</v>
      </c>
    </row>
    <row r="9" spans="1:9" ht="16.5">
      <c r="A9" s="82" t="str">
        <f t="shared" si="0"/>
        <v>2.2</v>
      </c>
      <c r="B9" s="49" t="s">
        <v>383</v>
      </c>
      <c r="C9" s="49" t="str">
        <f t="shared" si="1"/>
        <v>2.20.30</v>
      </c>
      <c r="D9" s="49" t="s">
        <v>391</v>
      </c>
      <c r="E9" s="15" t="s">
        <v>395</v>
      </c>
      <c r="F9" s="16" t="s">
        <v>39</v>
      </c>
      <c r="G9" s="5">
        <v>0</v>
      </c>
      <c r="H9" s="5">
        <v>0</v>
      </c>
      <c r="I9" s="6">
        <f t="shared" si="2"/>
        <v>0</v>
      </c>
    </row>
    <row r="10" spans="1:9" ht="17.25" thickBot="1">
      <c r="A10" s="82" t="str">
        <f t="shared" si="0"/>
        <v>2.2</v>
      </c>
      <c r="B10" s="49" t="s">
        <v>383</v>
      </c>
      <c r="C10" s="49" t="str">
        <f t="shared" si="1"/>
        <v>2.20.30</v>
      </c>
      <c r="D10" s="49" t="s">
        <v>396</v>
      </c>
      <c r="E10" s="23" t="s">
        <v>397</v>
      </c>
      <c r="F10" s="24" t="s">
        <v>398</v>
      </c>
      <c r="G10" s="5">
        <v>0</v>
      </c>
      <c r="H10" s="5">
        <v>0</v>
      </c>
      <c r="I10" s="14">
        <f t="shared" si="2"/>
        <v>0</v>
      </c>
    </row>
    <row r="11" spans="1:9" ht="16.5">
      <c r="A11" s="82" t="str">
        <f t="shared" si="0"/>
        <v>2.5</v>
      </c>
      <c r="B11" s="49" t="s">
        <v>147</v>
      </c>
      <c r="C11" s="49" t="str">
        <f t="shared" si="1"/>
        <v>2.50.10</v>
      </c>
      <c r="D11" s="49" t="s">
        <v>399</v>
      </c>
      <c r="E11" s="15" t="s">
        <v>400</v>
      </c>
      <c r="F11" s="16" t="s">
        <v>401</v>
      </c>
      <c r="G11" s="5">
        <v>0</v>
      </c>
      <c r="H11" s="5">
        <v>0</v>
      </c>
      <c r="I11" s="6">
        <f t="shared" si="2"/>
        <v>0</v>
      </c>
    </row>
    <row r="12" spans="1:9" ht="16.5">
      <c r="A12" s="82" t="str">
        <f t="shared" si="0"/>
        <v>2.5</v>
      </c>
      <c r="B12" s="49" t="s">
        <v>147</v>
      </c>
      <c r="C12" s="49" t="str">
        <f t="shared" si="1"/>
        <v>2.50.20</v>
      </c>
      <c r="D12" s="49" t="s">
        <v>402</v>
      </c>
      <c r="E12" s="15" t="s">
        <v>403</v>
      </c>
      <c r="F12" s="16" t="s">
        <v>157</v>
      </c>
      <c r="G12" s="5">
        <v>0</v>
      </c>
      <c r="H12" s="5">
        <v>0</v>
      </c>
      <c r="I12" s="6">
        <f t="shared" si="2"/>
        <v>0</v>
      </c>
    </row>
    <row r="13" spans="1:9" ht="16.5">
      <c r="A13" s="82" t="str">
        <f t="shared" si="0"/>
        <v>2.5</v>
      </c>
      <c r="B13" s="49" t="s">
        <v>147</v>
      </c>
      <c r="C13" s="49" t="str">
        <f t="shared" si="1"/>
        <v>2.50.20</v>
      </c>
      <c r="D13" s="49" t="s">
        <v>402</v>
      </c>
      <c r="E13" s="15" t="s">
        <v>404</v>
      </c>
      <c r="F13" s="16" t="s">
        <v>159</v>
      </c>
      <c r="G13" s="5">
        <v>0</v>
      </c>
      <c r="H13" s="5">
        <v>0</v>
      </c>
      <c r="I13" s="6">
        <f t="shared" si="2"/>
        <v>0</v>
      </c>
    </row>
    <row r="14" spans="1:9" ht="16.5">
      <c r="A14" s="82" t="str">
        <f t="shared" si="0"/>
        <v>2.5</v>
      </c>
      <c r="B14" s="49" t="s">
        <v>147</v>
      </c>
      <c r="C14" s="49" t="str">
        <f t="shared" si="1"/>
        <v>2.50.30</v>
      </c>
      <c r="D14" s="49" t="s">
        <v>405</v>
      </c>
      <c r="E14" s="15" t="s">
        <v>406</v>
      </c>
      <c r="F14" s="16" t="s">
        <v>157</v>
      </c>
      <c r="G14" s="5">
        <v>0</v>
      </c>
      <c r="H14" s="5">
        <v>0</v>
      </c>
      <c r="I14" s="6">
        <f t="shared" si="2"/>
        <v>0</v>
      </c>
    </row>
    <row r="15" spans="1:9" ht="16.5">
      <c r="A15" s="82" t="str">
        <f t="shared" si="0"/>
        <v>2.5</v>
      </c>
      <c r="B15" s="49" t="s">
        <v>147</v>
      </c>
      <c r="C15" s="49" t="str">
        <f t="shared" si="1"/>
        <v>2.50.30</v>
      </c>
      <c r="D15" s="49" t="s">
        <v>405</v>
      </c>
      <c r="E15" s="15" t="s">
        <v>407</v>
      </c>
      <c r="F15" s="16" t="s">
        <v>159</v>
      </c>
      <c r="G15" s="5">
        <v>0</v>
      </c>
      <c r="H15" s="5">
        <v>0</v>
      </c>
      <c r="I15" s="6">
        <f t="shared" si="2"/>
        <v>0</v>
      </c>
    </row>
    <row r="16" spans="1:9" ht="16.5">
      <c r="A16" s="82" t="str">
        <f t="shared" si="0"/>
        <v>2.5</v>
      </c>
      <c r="B16" s="49" t="s">
        <v>147</v>
      </c>
      <c r="C16" s="49" t="str">
        <f t="shared" si="1"/>
        <v>2.50.40</v>
      </c>
      <c r="D16" s="49" t="s">
        <v>408</v>
      </c>
      <c r="E16" s="15" t="s">
        <v>409</v>
      </c>
      <c r="F16" s="16" t="s">
        <v>170</v>
      </c>
      <c r="G16" s="5">
        <v>0</v>
      </c>
      <c r="H16" s="5">
        <v>0</v>
      </c>
      <c r="I16" s="6">
        <f t="shared" si="2"/>
        <v>0</v>
      </c>
    </row>
    <row r="17" spans="1:9" ht="16.5">
      <c r="A17" s="82" t="str">
        <f t="shared" si="0"/>
        <v>2.5</v>
      </c>
      <c r="B17" s="49" t="s">
        <v>147</v>
      </c>
      <c r="C17" s="49" t="str">
        <f t="shared" si="1"/>
        <v>2.50.50</v>
      </c>
      <c r="D17" s="49" t="s">
        <v>410</v>
      </c>
      <c r="E17" s="15" t="s">
        <v>411</v>
      </c>
      <c r="F17" s="16" t="s">
        <v>412</v>
      </c>
      <c r="G17" s="5">
        <v>0</v>
      </c>
      <c r="H17" s="5">
        <v>0</v>
      </c>
      <c r="I17" s="6">
        <f t="shared" si="2"/>
        <v>0</v>
      </c>
    </row>
    <row r="18" spans="1:9" ht="16.5">
      <c r="A18" s="82" t="str">
        <f t="shared" si="0"/>
        <v>2.5</v>
      </c>
      <c r="B18" s="49" t="s">
        <v>147</v>
      </c>
      <c r="C18" s="49" t="str">
        <f t="shared" si="1"/>
        <v>2.50.50</v>
      </c>
      <c r="D18" s="49" t="s">
        <v>410</v>
      </c>
      <c r="E18" s="15" t="s">
        <v>413</v>
      </c>
      <c r="F18" s="16" t="s">
        <v>414</v>
      </c>
      <c r="G18" s="5">
        <v>0</v>
      </c>
      <c r="H18" s="5">
        <v>0</v>
      </c>
      <c r="I18" s="6">
        <f t="shared" si="2"/>
        <v>0</v>
      </c>
    </row>
    <row r="19" spans="1:9" ht="17.25" thickBot="1">
      <c r="A19" s="72" t="str">
        <f t="shared" si="0"/>
        <v>2.5</v>
      </c>
      <c r="B19" s="49" t="s">
        <v>147</v>
      </c>
      <c r="C19" s="49" t="str">
        <f t="shared" si="1"/>
        <v>2.50.60</v>
      </c>
      <c r="D19" s="49" t="s">
        <v>178</v>
      </c>
      <c r="E19" s="23" t="s">
        <v>415</v>
      </c>
      <c r="F19" s="24" t="s">
        <v>416</v>
      </c>
      <c r="G19" s="5">
        <v>0</v>
      </c>
      <c r="H19" s="5">
        <v>0</v>
      </c>
      <c r="I19" s="14">
        <f t="shared" si="2"/>
        <v>0</v>
      </c>
    </row>
    <row r="20" spans="1:9" ht="16.5">
      <c r="A20" s="82" t="str">
        <f t="shared" si="0"/>
        <v>2.6</v>
      </c>
      <c r="B20" s="49" t="s">
        <v>417</v>
      </c>
      <c r="C20" s="49" t="str">
        <f t="shared" si="1"/>
        <v>2.60.10</v>
      </c>
      <c r="D20" s="49" t="s">
        <v>418</v>
      </c>
      <c r="E20" s="15" t="s">
        <v>419</v>
      </c>
      <c r="F20" s="16" t="s">
        <v>420</v>
      </c>
      <c r="G20" s="5">
        <v>0</v>
      </c>
      <c r="H20" s="5">
        <v>0</v>
      </c>
      <c r="I20" s="6">
        <f t="shared" si="2"/>
        <v>0</v>
      </c>
    </row>
    <row r="21" spans="1:9" ht="16.5">
      <c r="A21" s="82" t="str">
        <f t="shared" si="0"/>
        <v>2.6</v>
      </c>
      <c r="B21" s="49" t="s">
        <v>417</v>
      </c>
      <c r="C21" s="49" t="str">
        <f t="shared" si="1"/>
        <v>2.60.10</v>
      </c>
      <c r="D21" s="49" t="s">
        <v>418</v>
      </c>
      <c r="E21" s="15" t="s">
        <v>421</v>
      </c>
      <c r="F21" s="16" t="s">
        <v>422</v>
      </c>
      <c r="G21" s="5">
        <v>0</v>
      </c>
      <c r="H21" s="5">
        <v>0</v>
      </c>
      <c r="I21" s="6">
        <f t="shared" si="2"/>
        <v>0</v>
      </c>
    </row>
    <row r="22" spans="1:9" ht="16.5">
      <c r="A22" s="83" t="str">
        <f t="shared" si="0"/>
        <v>2.6</v>
      </c>
      <c r="B22" s="49" t="s">
        <v>417</v>
      </c>
      <c r="C22" s="49" t="str">
        <f t="shared" si="1"/>
        <v>2.60.20</v>
      </c>
      <c r="D22" s="49" t="s">
        <v>423</v>
      </c>
      <c r="E22" s="36" t="s">
        <v>424</v>
      </c>
      <c r="F22" s="39" t="s">
        <v>425</v>
      </c>
      <c r="G22" s="5">
        <v>0</v>
      </c>
      <c r="H22" s="5">
        <v>0</v>
      </c>
      <c r="I22" s="42">
        <f t="shared" ref="I22:I44" si="3">H22-G22</f>
        <v>0</v>
      </c>
    </row>
    <row r="23" spans="1:9" ht="16.5">
      <c r="A23" s="83" t="str">
        <f t="shared" si="0"/>
        <v>2.6</v>
      </c>
      <c r="B23" s="49" t="s">
        <v>417</v>
      </c>
      <c r="C23" s="49" t="str">
        <f t="shared" si="1"/>
        <v>2.60.20</v>
      </c>
      <c r="D23" s="49" t="s">
        <v>423</v>
      </c>
      <c r="E23" s="37" t="s">
        <v>426</v>
      </c>
      <c r="F23" s="50" t="s">
        <v>427</v>
      </c>
      <c r="G23" s="29">
        <v>221840026.68000001</v>
      </c>
      <c r="H23" s="29">
        <v>223324603.94</v>
      </c>
      <c r="I23" s="43">
        <f t="shared" si="3"/>
        <v>1484577.2599999905</v>
      </c>
    </row>
    <row r="24" spans="1:9" ht="16.5">
      <c r="A24" s="83" t="str">
        <f t="shared" si="0"/>
        <v>2.6</v>
      </c>
      <c r="B24" s="49" t="s">
        <v>417</v>
      </c>
      <c r="C24" s="49" t="str">
        <f t="shared" si="1"/>
        <v>2.60.20</v>
      </c>
      <c r="D24" s="49" t="s">
        <v>428</v>
      </c>
      <c r="E24" s="36" t="s">
        <v>429</v>
      </c>
      <c r="F24" s="39" t="s">
        <v>430</v>
      </c>
      <c r="G24" s="5">
        <v>25150</v>
      </c>
      <c r="H24" s="5">
        <v>10206808.439999999</v>
      </c>
      <c r="I24" s="42">
        <f t="shared" si="3"/>
        <v>10181658.439999999</v>
      </c>
    </row>
    <row r="25" spans="1:9" ht="16.5">
      <c r="A25" s="83" t="str">
        <f t="shared" si="0"/>
        <v>2.6</v>
      </c>
      <c r="B25" s="49" t="s">
        <v>417</v>
      </c>
      <c r="C25" s="49" t="str">
        <f t="shared" si="1"/>
        <v>2.60.20</v>
      </c>
      <c r="D25" s="49" t="s">
        <v>428</v>
      </c>
      <c r="E25" s="36" t="s">
        <v>431</v>
      </c>
      <c r="F25" s="39" t="s">
        <v>432</v>
      </c>
      <c r="G25" s="7">
        <v>0</v>
      </c>
      <c r="H25" s="7">
        <v>0</v>
      </c>
      <c r="I25" s="44">
        <f t="shared" si="3"/>
        <v>0</v>
      </c>
    </row>
    <row r="26" spans="1:9" ht="16.5">
      <c r="A26" s="82" t="str">
        <f t="shared" si="0"/>
        <v>2.6</v>
      </c>
      <c r="B26" s="49" t="s">
        <v>417</v>
      </c>
      <c r="C26" s="49" t="str">
        <f t="shared" si="1"/>
        <v>2.60.20</v>
      </c>
      <c r="D26" s="49" t="s">
        <v>433</v>
      </c>
      <c r="E26" s="51" t="s">
        <v>434</v>
      </c>
      <c r="F26" s="41" t="s">
        <v>435</v>
      </c>
      <c r="G26" s="7">
        <v>0</v>
      </c>
      <c r="H26" s="7">
        <v>0</v>
      </c>
      <c r="I26" s="6">
        <f t="shared" si="3"/>
        <v>0</v>
      </c>
    </row>
    <row r="27" spans="1:9" ht="16.5">
      <c r="A27" s="82" t="str">
        <f t="shared" si="0"/>
        <v>2.6</v>
      </c>
      <c r="B27" s="49" t="s">
        <v>417</v>
      </c>
      <c r="C27" s="49" t="str">
        <f t="shared" si="1"/>
        <v>2.60.20</v>
      </c>
      <c r="D27" s="49" t="s">
        <v>433</v>
      </c>
      <c r="E27" s="51" t="s">
        <v>436</v>
      </c>
      <c r="F27" s="41" t="s">
        <v>437</v>
      </c>
      <c r="G27" s="7">
        <v>0</v>
      </c>
      <c r="H27" s="7">
        <v>0</v>
      </c>
      <c r="I27" s="6">
        <f t="shared" si="3"/>
        <v>0</v>
      </c>
    </row>
    <row r="28" spans="1:9" ht="16.5">
      <c r="A28" s="82" t="str">
        <f t="shared" si="0"/>
        <v>2.6</v>
      </c>
      <c r="B28" s="49" t="s">
        <v>417</v>
      </c>
      <c r="C28" s="49" t="str">
        <f t="shared" si="1"/>
        <v>2.60.20</v>
      </c>
      <c r="D28" s="49" t="s">
        <v>433</v>
      </c>
      <c r="E28" s="51" t="s">
        <v>438</v>
      </c>
      <c r="F28" s="41" t="s">
        <v>439</v>
      </c>
      <c r="G28" s="7">
        <v>0</v>
      </c>
      <c r="H28" s="7">
        <v>0</v>
      </c>
      <c r="I28" s="6">
        <f t="shared" si="3"/>
        <v>0</v>
      </c>
    </row>
    <row r="29" spans="1:9" ht="16.5">
      <c r="A29" s="82" t="str">
        <f t="shared" si="0"/>
        <v>2.6</v>
      </c>
      <c r="B29" s="49" t="s">
        <v>417</v>
      </c>
      <c r="C29" s="49" t="str">
        <f t="shared" si="1"/>
        <v>2.60.20</v>
      </c>
      <c r="D29" s="49" t="s">
        <v>433</v>
      </c>
      <c r="E29" s="51" t="s">
        <v>440</v>
      </c>
      <c r="F29" s="41" t="s">
        <v>441</v>
      </c>
      <c r="G29" s="7">
        <v>0</v>
      </c>
      <c r="H29" s="7">
        <v>0</v>
      </c>
      <c r="I29" s="6">
        <f t="shared" si="3"/>
        <v>0</v>
      </c>
    </row>
    <row r="30" spans="1:9" ht="16.5">
      <c r="A30" s="82" t="str">
        <f t="shared" si="0"/>
        <v>2.6</v>
      </c>
      <c r="B30" s="49" t="s">
        <v>417</v>
      </c>
      <c r="C30" s="49" t="str">
        <f t="shared" si="1"/>
        <v>2.60.20</v>
      </c>
      <c r="D30" s="49" t="s">
        <v>442</v>
      </c>
      <c r="E30" s="51" t="s">
        <v>443</v>
      </c>
      <c r="F30" s="41" t="s">
        <v>444</v>
      </c>
      <c r="G30" s="7">
        <v>0</v>
      </c>
      <c r="H30" s="7">
        <v>0</v>
      </c>
      <c r="I30" s="6">
        <f t="shared" si="3"/>
        <v>0</v>
      </c>
    </row>
    <row r="31" spans="1:9" ht="16.5">
      <c r="A31" s="82" t="str">
        <f t="shared" si="0"/>
        <v>2.6</v>
      </c>
      <c r="B31" s="49" t="s">
        <v>417</v>
      </c>
      <c r="C31" s="49" t="str">
        <f t="shared" si="1"/>
        <v>2.60.20</v>
      </c>
      <c r="D31" s="49" t="s">
        <v>442</v>
      </c>
      <c r="E31" s="51" t="s">
        <v>445</v>
      </c>
      <c r="F31" s="41" t="s">
        <v>279</v>
      </c>
      <c r="G31" s="7">
        <v>0</v>
      </c>
      <c r="H31" s="7">
        <v>0</v>
      </c>
      <c r="I31" s="6">
        <f t="shared" si="3"/>
        <v>0</v>
      </c>
    </row>
    <row r="32" spans="1:9" ht="16.5">
      <c r="A32" s="82" t="str">
        <f t="shared" si="0"/>
        <v>2.6</v>
      </c>
      <c r="B32" s="49" t="s">
        <v>417</v>
      </c>
      <c r="C32" s="49" t="str">
        <f t="shared" si="1"/>
        <v>2.60.20</v>
      </c>
      <c r="D32" s="49" t="s">
        <v>442</v>
      </c>
      <c r="E32" s="51" t="s">
        <v>446</v>
      </c>
      <c r="F32" s="41" t="s">
        <v>447</v>
      </c>
      <c r="G32" s="7">
        <v>0</v>
      </c>
      <c r="H32" s="7">
        <v>0</v>
      </c>
      <c r="I32" s="6">
        <f t="shared" si="3"/>
        <v>0</v>
      </c>
    </row>
    <row r="33" spans="1:9" ht="16.5">
      <c r="A33" s="82" t="str">
        <f t="shared" si="0"/>
        <v>2.6</v>
      </c>
      <c r="B33" s="49" t="s">
        <v>417</v>
      </c>
      <c r="C33" s="49" t="str">
        <f t="shared" si="1"/>
        <v>2.60.20</v>
      </c>
      <c r="D33" s="49" t="s">
        <v>448</v>
      </c>
      <c r="E33" s="51" t="s">
        <v>449</v>
      </c>
      <c r="F33" s="41" t="s">
        <v>450</v>
      </c>
      <c r="G33" s="7">
        <v>0</v>
      </c>
      <c r="H33" s="7">
        <v>0</v>
      </c>
      <c r="I33" s="6">
        <f t="shared" si="3"/>
        <v>0</v>
      </c>
    </row>
    <row r="34" spans="1:9" ht="16.5">
      <c r="A34" s="82" t="str">
        <f t="shared" ref="A34:A53" si="4">+LEFT(E34,3)</f>
        <v>2.6</v>
      </c>
      <c r="B34" s="49" t="s">
        <v>417</v>
      </c>
      <c r="C34" s="49" t="str">
        <f t="shared" ref="C34:C53" si="5">+LEFT(E34,7)</f>
        <v>2.60.20</v>
      </c>
      <c r="D34" s="49" t="s">
        <v>448</v>
      </c>
      <c r="E34" s="51" t="s">
        <v>451</v>
      </c>
      <c r="F34" s="41" t="s">
        <v>452</v>
      </c>
      <c r="G34" s="7">
        <v>0</v>
      </c>
      <c r="H34" s="7">
        <v>0</v>
      </c>
      <c r="I34" s="6">
        <f t="shared" si="3"/>
        <v>0</v>
      </c>
    </row>
    <row r="35" spans="1:9" ht="16.5">
      <c r="A35" s="82" t="str">
        <f t="shared" si="4"/>
        <v>2.6</v>
      </c>
      <c r="B35" s="49" t="s">
        <v>417</v>
      </c>
      <c r="C35" s="49" t="str">
        <f t="shared" si="5"/>
        <v>2.60.20</v>
      </c>
      <c r="D35" s="49" t="s">
        <v>453</v>
      </c>
      <c r="E35" s="51" t="s">
        <v>454</v>
      </c>
      <c r="F35" s="41" t="s">
        <v>455</v>
      </c>
      <c r="G35" s="7">
        <v>0</v>
      </c>
      <c r="H35" s="7">
        <v>0</v>
      </c>
      <c r="I35" s="6">
        <f t="shared" si="3"/>
        <v>0</v>
      </c>
    </row>
    <row r="36" spans="1:9" ht="16.5">
      <c r="A36" s="82" t="str">
        <f t="shared" si="4"/>
        <v>2.6</v>
      </c>
      <c r="B36" s="49" t="s">
        <v>417</v>
      </c>
      <c r="C36" s="49" t="str">
        <f t="shared" si="5"/>
        <v>2.60.20</v>
      </c>
      <c r="D36" s="49" t="s">
        <v>453</v>
      </c>
      <c r="E36" s="51" t="s">
        <v>456</v>
      </c>
      <c r="F36" s="41" t="s">
        <v>457</v>
      </c>
      <c r="G36" s="7">
        <v>0</v>
      </c>
      <c r="H36" s="7">
        <v>0</v>
      </c>
      <c r="I36" s="6">
        <f t="shared" si="3"/>
        <v>0</v>
      </c>
    </row>
    <row r="37" spans="1:9" ht="16.5">
      <c r="A37" s="82" t="str">
        <f t="shared" si="4"/>
        <v>2.6</v>
      </c>
      <c r="B37" s="49" t="s">
        <v>417</v>
      </c>
      <c r="C37" s="49" t="str">
        <f t="shared" si="5"/>
        <v>2.60.20</v>
      </c>
      <c r="D37" s="49" t="s">
        <v>453</v>
      </c>
      <c r="E37" s="51" t="s">
        <v>458</v>
      </c>
      <c r="F37" s="41" t="s">
        <v>459</v>
      </c>
      <c r="G37" s="7">
        <v>0</v>
      </c>
      <c r="H37" s="7">
        <v>0</v>
      </c>
      <c r="I37" s="6">
        <f t="shared" si="3"/>
        <v>0</v>
      </c>
    </row>
    <row r="38" spans="1:9" ht="16.5">
      <c r="A38" s="82" t="str">
        <f t="shared" si="4"/>
        <v>2.6</v>
      </c>
      <c r="B38" s="49" t="s">
        <v>417</v>
      </c>
      <c r="C38" s="49" t="str">
        <f t="shared" si="5"/>
        <v>2.60.30</v>
      </c>
      <c r="D38" s="49" t="s">
        <v>460</v>
      </c>
      <c r="E38" s="15" t="s">
        <v>461</v>
      </c>
      <c r="F38" s="16" t="s">
        <v>462</v>
      </c>
      <c r="G38" s="7">
        <v>0</v>
      </c>
      <c r="H38" s="7">
        <v>0</v>
      </c>
      <c r="I38" s="6">
        <f t="shared" si="3"/>
        <v>0</v>
      </c>
    </row>
    <row r="39" spans="1:9" ht="16.5">
      <c r="A39" s="82" t="str">
        <f t="shared" si="4"/>
        <v>2.6</v>
      </c>
      <c r="B39" s="49" t="s">
        <v>417</v>
      </c>
      <c r="C39" s="49" t="str">
        <f t="shared" si="5"/>
        <v>2.60.30</v>
      </c>
      <c r="D39" s="49" t="s">
        <v>460</v>
      </c>
      <c r="E39" s="15" t="s">
        <v>463</v>
      </c>
      <c r="F39" s="16" t="s">
        <v>464</v>
      </c>
      <c r="G39" s="7">
        <v>0</v>
      </c>
      <c r="H39" s="7">
        <v>0</v>
      </c>
      <c r="I39" s="6">
        <f t="shared" si="3"/>
        <v>0</v>
      </c>
    </row>
    <row r="40" spans="1:9" ht="16.5">
      <c r="A40" s="82" t="str">
        <f t="shared" si="4"/>
        <v>2.6</v>
      </c>
      <c r="B40" s="49" t="s">
        <v>417</v>
      </c>
      <c r="C40" s="49" t="str">
        <f t="shared" si="5"/>
        <v>2.60.30</v>
      </c>
      <c r="D40" s="49" t="s">
        <v>460</v>
      </c>
      <c r="E40" s="15" t="s">
        <v>465</v>
      </c>
      <c r="F40" s="16" t="s">
        <v>466</v>
      </c>
      <c r="G40" s="7">
        <v>0</v>
      </c>
      <c r="H40" s="7">
        <v>0</v>
      </c>
      <c r="I40" s="6">
        <f t="shared" si="3"/>
        <v>0</v>
      </c>
    </row>
    <row r="41" spans="1:9" ht="16.5">
      <c r="A41" s="82" t="str">
        <f t="shared" si="4"/>
        <v>2.6</v>
      </c>
      <c r="B41" s="49" t="s">
        <v>417</v>
      </c>
      <c r="C41" s="49" t="str">
        <f t="shared" si="5"/>
        <v>2.60.30</v>
      </c>
      <c r="D41" s="49" t="s">
        <v>460</v>
      </c>
      <c r="E41" s="15" t="s">
        <v>467</v>
      </c>
      <c r="F41" s="16" t="s">
        <v>468</v>
      </c>
      <c r="G41" s="7">
        <v>0</v>
      </c>
      <c r="H41" s="7">
        <v>0</v>
      </c>
      <c r="I41" s="6">
        <f t="shared" si="3"/>
        <v>0</v>
      </c>
    </row>
    <row r="42" spans="1:9" ht="16.5">
      <c r="A42" s="82" t="str">
        <f t="shared" si="4"/>
        <v>2.6</v>
      </c>
      <c r="B42" s="49" t="s">
        <v>417</v>
      </c>
      <c r="C42" s="49" t="str">
        <f t="shared" si="5"/>
        <v>2.60.30</v>
      </c>
      <c r="D42" s="49" t="s">
        <v>460</v>
      </c>
      <c r="E42" s="15" t="s">
        <v>469</v>
      </c>
      <c r="F42" s="16" t="s">
        <v>95</v>
      </c>
      <c r="G42" s="7">
        <v>0</v>
      </c>
      <c r="H42" s="7">
        <v>0</v>
      </c>
      <c r="I42" s="6">
        <f t="shared" si="3"/>
        <v>0</v>
      </c>
    </row>
    <row r="43" spans="1:9" ht="16.5">
      <c r="A43" s="82" t="str">
        <f t="shared" si="4"/>
        <v>2.6</v>
      </c>
      <c r="B43" s="49" t="s">
        <v>417</v>
      </c>
      <c r="C43" s="49" t="str">
        <f t="shared" si="5"/>
        <v>2.60.40</v>
      </c>
      <c r="D43" s="49" t="s">
        <v>470</v>
      </c>
      <c r="E43" s="15" t="s">
        <v>471</v>
      </c>
      <c r="F43" s="16" t="s">
        <v>472</v>
      </c>
      <c r="G43" s="7">
        <v>0</v>
      </c>
      <c r="H43" s="7">
        <v>0</v>
      </c>
      <c r="I43" s="6">
        <f t="shared" si="3"/>
        <v>0</v>
      </c>
    </row>
    <row r="44" spans="1:9" ht="16.5">
      <c r="A44" s="82" t="str">
        <f t="shared" si="4"/>
        <v>2.6</v>
      </c>
      <c r="B44" s="49" t="s">
        <v>417</v>
      </c>
      <c r="C44" s="49" t="str">
        <f t="shared" si="5"/>
        <v>2.60.40</v>
      </c>
      <c r="D44" s="49" t="s">
        <v>470</v>
      </c>
      <c r="E44" s="15" t="s">
        <v>473</v>
      </c>
      <c r="F44" s="16" t="s">
        <v>474</v>
      </c>
      <c r="G44" s="7">
        <v>0</v>
      </c>
      <c r="H44" s="7">
        <v>0</v>
      </c>
      <c r="I44" s="6">
        <f t="shared" si="3"/>
        <v>0</v>
      </c>
    </row>
    <row r="45" spans="1:9" ht="16.5">
      <c r="A45" s="82" t="str">
        <f t="shared" si="4"/>
        <v>2.6</v>
      </c>
      <c r="B45" s="49" t="s">
        <v>417</v>
      </c>
      <c r="C45" s="49" t="str">
        <f t="shared" si="5"/>
        <v>2.60.40</v>
      </c>
      <c r="D45" s="49" t="s">
        <v>470</v>
      </c>
      <c r="E45" s="15" t="s">
        <v>475</v>
      </c>
      <c r="F45" s="16" t="s">
        <v>476</v>
      </c>
      <c r="G45" s="7">
        <v>0</v>
      </c>
      <c r="H45" s="7">
        <v>0</v>
      </c>
      <c r="I45" s="6">
        <f t="shared" ref="I45:I69" si="6">H45-G45</f>
        <v>0</v>
      </c>
    </row>
    <row r="46" spans="1:9" ht="16.5">
      <c r="A46" s="82" t="str">
        <f t="shared" si="4"/>
        <v>2.6</v>
      </c>
      <c r="B46" s="49" t="s">
        <v>417</v>
      </c>
      <c r="C46" s="49" t="str">
        <f t="shared" si="5"/>
        <v>2.60.40</v>
      </c>
      <c r="D46" s="49" t="s">
        <v>470</v>
      </c>
      <c r="E46" s="15" t="s">
        <v>477</v>
      </c>
      <c r="F46" s="16" t="s">
        <v>478</v>
      </c>
      <c r="G46" s="7">
        <v>0</v>
      </c>
      <c r="H46" s="7">
        <v>0</v>
      </c>
      <c r="I46" s="6">
        <f t="shared" si="6"/>
        <v>0</v>
      </c>
    </row>
    <row r="47" spans="1:9" ht="16.5">
      <c r="A47" s="82" t="str">
        <f t="shared" si="4"/>
        <v>2.6</v>
      </c>
      <c r="B47" s="49" t="s">
        <v>417</v>
      </c>
      <c r="C47" s="49" t="str">
        <f t="shared" si="5"/>
        <v>2.60.50</v>
      </c>
      <c r="D47" s="49" t="s">
        <v>479</v>
      </c>
      <c r="E47" s="15" t="s">
        <v>480</v>
      </c>
      <c r="F47" s="16" t="s">
        <v>481</v>
      </c>
      <c r="G47" s="7">
        <v>0</v>
      </c>
      <c r="H47" s="7">
        <v>0</v>
      </c>
      <c r="I47" s="6">
        <f t="shared" si="6"/>
        <v>0</v>
      </c>
    </row>
    <row r="48" spans="1:9" ht="16.5">
      <c r="A48" s="82" t="str">
        <f t="shared" si="4"/>
        <v>2.6</v>
      </c>
      <c r="B48" s="49" t="s">
        <v>417</v>
      </c>
      <c r="C48" s="49" t="str">
        <f t="shared" si="5"/>
        <v>2.60.50</v>
      </c>
      <c r="D48" s="49" t="s">
        <v>479</v>
      </c>
      <c r="E48" s="15" t="s">
        <v>482</v>
      </c>
      <c r="F48" s="16" t="s">
        <v>483</v>
      </c>
      <c r="G48" s="7">
        <v>0</v>
      </c>
      <c r="H48" s="7">
        <v>0</v>
      </c>
      <c r="I48" s="6">
        <f t="shared" si="6"/>
        <v>0</v>
      </c>
    </row>
    <row r="49" spans="1:9" ht="16.5">
      <c r="A49" s="82" t="str">
        <f t="shared" si="4"/>
        <v>2.6</v>
      </c>
      <c r="B49" s="49" t="s">
        <v>417</v>
      </c>
      <c r="C49" s="49" t="str">
        <f t="shared" si="5"/>
        <v>2.60.50</v>
      </c>
      <c r="D49" s="49" t="s">
        <v>479</v>
      </c>
      <c r="E49" s="15" t="s">
        <v>484</v>
      </c>
      <c r="F49" s="16" t="s">
        <v>95</v>
      </c>
      <c r="G49" s="7">
        <v>0</v>
      </c>
      <c r="H49" s="7">
        <v>0</v>
      </c>
      <c r="I49" s="6">
        <f t="shared" si="6"/>
        <v>0</v>
      </c>
    </row>
    <row r="50" spans="1:9" ht="16.5">
      <c r="A50" s="82" t="str">
        <f t="shared" si="4"/>
        <v>2.6</v>
      </c>
      <c r="B50" s="49" t="s">
        <v>417</v>
      </c>
      <c r="C50" s="49" t="str">
        <f t="shared" si="5"/>
        <v>2.60.60</v>
      </c>
      <c r="D50" s="49" t="s">
        <v>310</v>
      </c>
      <c r="E50" s="35" t="s">
        <v>485</v>
      </c>
      <c r="F50" s="52" t="s">
        <v>486</v>
      </c>
      <c r="G50" s="7">
        <v>0</v>
      </c>
      <c r="H50" s="7">
        <v>0</v>
      </c>
      <c r="I50" s="45">
        <f t="shared" si="6"/>
        <v>0</v>
      </c>
    </row>
    <row r="51" spans="1:9" ht="16.5">
      <c r="A51" s="83" t="str">
        <f t="shared" si="4"/>
        <v>2.6</v>
      </c>
      <c r="B51" s="49" t="s">
        <v>417</v>
      </c>
      <c r="C51" s="49" t="str">
        <f t="shared" si="5"/>
        <v>2.60.60</v>
      </c>
      <c r="D51" s="49" t="s">
        <v>487</v>
      </c>
      <c r="E51" s="36" t="s">
        <v>488</v>
      </c>
      <c r="F51" s="39" t="s">
        <v>227</v>
      </c>
      <c r="G51" s="7">
        <v>0</v>
      </c>
      <c r="H51" s="7">
        <v>0</v>
      </c>
      <c r="I51" s="42">
        <f t="shared" si="6"/>
        <v>0</v>
      </c>
    </row>
    <row r="52" spans="1:9" ht="16.5">
      <c r="A52" s="83" t="str">
        <f t="shared" si="4"/>
        <v>2.6</v>
      </c>
      <c r="B52" s="49" t="s">
        <v>417</v>
      </c>
      <c r="C52" s="49" t="str">
        <f t="shared" si="5"/>
        <v>2.60.60</v>
      </c>
      <c r="D52" s="49" t="s">
        <v>487</v>
      </c>
      <c r="E52" s="36" t="s">
        <v>489</v>
      </c>
      <c r="F52" s="39" t="s">
        <v>229</v>
      </c>
      <c r="G52" s="7">
        <v>0</v>
      </c>
      <c r="H52" s="7">
        <v>0</v>
      </c>
      <c r="I52" s="42">
        <f t="shared" si="6"/>
        <v>0</v>
      </c>
    </row>
    <row r="53" spans="1:9" ht="16.5">
      <c r="A53" s="83" t="str">
        <f t="shared" si="4"/>
        <v>2.6</v>
      </c>
      <c r="B53" s="49" t="s">
        <v>417</v>
      </c>
      <c r="C53" s="49" t="str">
        <f t="shared" si="5"/>
        <v>2.60.60</v>
      </c>
      <c r="D53" s="49" t="s">
        <v>487</v>
      </c>
      <c r="E53" s="37" t="s">
        <v>490</v>
      </c>
      <c r="F53" s="50" t="s">
        <v>231</v>
      </c>
      <c r="G53" s="7">
        <v>0</v>
      </c>
      <c r="H53" s="7">
        <v>0</v>
      </c>
      <c r="I53" s="43">
        <f t="shared" si="6"/>
        <v>0</v>
      </c>
    </row>
    <row r="54" spans="1:9" ht="16.5">
      <c r="A54" s="83" t="str">
        <f t="shared" ref="A54:A63" si="7">+LEFT(E54,3)</f>
        <v>2.6</v>
      </c>
      <c r="B54" s="49" t="s">
        <v>417</v>
      </c>
      <c r="C54" s="49" t="str">
        <f t="shared" ref="C54:C63" si="8">+LEFT(E54,7)</f>
        <v>2.60.60</v>
      </c>
      <c r="D54" s="49" t="s">
        <v>491</v>
      </c>
      <c r="E54" s="36" t="s">
        <v>492</v>
      </c>
      <c r="F54" s="39" t="s">
        <v>235</v>
      </c>
      <c r="G54" s="7">
        <v>0</v>
      </c>
      <c r="H54" s="7">
        <v>0</v>
      </c>
      <c r="I54" s="42">
        <f t="shared" si="6"/>
        <v>0</v>
      </c>
    </row>
    <row r="55" spans="1:9" ht="16.5">
      <c r="A55" s="83" t="str">
        <f t="shared" si="7"/>
        <v>2.6</v>
      </c>
      <c r="B55" s="49" t="s">
        <v>417</v>
      </c>
      <c r="C55" s="49" t="str">
        <f t="shared" si="8"/>
        <v>2.60.60</v>
      </c>
      <c r="D55" s="49" t="s">
        <v>491</v>
      </c>
      <c r="E55" s="36" t="s">
        <v>492</v>
      </c>
      <c r="F55" s="39" t="s">
        <v>237</v>
      </c>
      <c r="G55" s="7">
        <v>0</v>
      </c>
      <c r="H55" s="7">
        <v>0</v>
      </c>
      <c r="I55" s="42">
        <f t="shared" si="6"/>
        <v>0</v>
      </c>
    </row>
    <row r="56" spans="1:9" ht="16.5">
      <c r="A56" s="83" t="str">
        <f t="shared" si="7"/>
        <v>2.6</v>
      </c>
      <c r="B56" s="49" t="s">
        <v>417</v>
      </c>
      <c r="C56" s="49" t="str">
        <f t="shared" si="8"/>
        <v>2.60.60</v>
      </c>
      <c r="D56" s="49" t="s">
        <v>491</v>
      </c>
      <c r="E56" s="36" t="s">
        <v>493</v>
      </c>
      <c r="F56" s="39" t="s">
        <v>239</v>
      </c>
      <c r="G56" s="7">
        <v>0</v>
      </c>
      <c r="H56" s="7">
        <v>0</v>
      </c>
      <c r="I56" s="42">
        <f t="shared" si="6"/>
        <v>0</v>
      </c>
    </row>
    <row r="57" spans="1:9" ht="16.5">
      <c r="A57" s="83" t="str">
        <f t="shared" si="7"/>
        <v>2.6</v>
      </c>
      <c r="B57" s="49" t="s">
        <v>417</v>
      </c>
      <c r="C57" s="49" t="str">
        <f t="shared" si="8"/>
        <v>2.60.60</v>
      </c>
      <c r="D57" s="49" t="s">
        <v>491</v>
      </c>
      <c r="E57" s="36" t="s">
        <v>494</v>
      </c>
      <c r="F57" s="39" t="s">
        <v>495</v>
      </c>
      <c r="G57" s="7">
        <v>0</v>
      </c>
      <c r="H57" s="7">
        <v>0</v>
      </c>
      <c r="I57" s="42">
        <f t="shared" si="6"/>
        <v>0</v>
      </c>
    </row>
    <row r="58" spans="1:9" ht="16.5">
      <c r="A58" s="83" t="str">
        <f t="shared" si="7"/>
        <v>2.6</v>
      </c>
      <c r="B58" s="49" t="s">
        <v>417</v>
      </c>
      <c r="C58" s="49" t="str">
        <f t="shared" si="8"/>
        <v>2.60.60</v>
      </c>
      <c r="D58" s="49" t="s">
        <v>491</v>
      </c>
      <c r="E58" s="37" t="s">
        <v>496</v>
      </c>
      <c r="F58" s="50" t="s">
        <v>497</v>
      </c>
      <c r="G58" s="29">
        <v>254873735.44</v>
      </c>
      <c r="H58" s="29">
        <v>315746499.61000001</v>
      </c>
      <c r="I58" s="43">
        <f t="shared" si="6"/>
        <v>60872764.170000017</v>
      </c>
    </row>
    <row r="59" spans="1:9" ht="16.5">
      <c r="A59" s="82" t="str">
        <f t="shared" si="7"/>
        <v>2.6</v>
      </c>
      <c r="B59" s="49" t="s">
        <v>417</v>
      </c>
      <c r="C59" s="49" t="str">
        <f t="shared" si="8"/>
        <v>2.60.60</v>
      </c>
      <c r="D59" s="49" t="s">
        <v>310</v>
      </c>
      <c r="E59" s="53" t="s">
        <v>498</v>
      </c>
      <c r="F59" s="54" t="s">
        <v>499</v>
      </c>
      <c r="G59" s="46">
        <v>0</v>
      </c>
      <c r="H59" s="46">
        <v>0</v>
      </c>
      <c r="I59" s="47">
        <f t="shared" si="6"/>
        <v>0</v>
      </c>
    </row>
    <row r="60" spans="1:9" ht="16.5">
      <c r="A60" s="82" t="str">
        <f t="shared" si="7"/>
        <v>2.6</v>
      </c>
      <c r="B60" s="49" t="s">
        <v>417</v>
      </c>
      <c r="C60" s="49" t="str">
        <f t="shared" si="8"/>
        <v>2.60.60</v>
      </c>
      <c r="D60" s="49" t="s">
        <v>310</v>
      </c>
      <c r="E60" s="17" t="s">
        <v>500</v>
      </c>
      <c r="F60" s="18" t="s">
        <v>501</v>
      </c>
      <c r="G60" s="7">
        <f>1612727845.01</f>
        <v>1612727845.01</v>
      </c>
      <c r="H60" s="7">
        <f>1862019115.4</f>
        <v>1862019115.4000001</v>
      </c>
      <c r="I60" s="8">
        <f t="shared" si="6"/>
        <v>249291270.3900001</v>
      </c>
    </row>
    <row r="61" spans="1:9" ht="16.5">
      <c r="A61" s="84" t="str">
        <f t="shared" si="7"/>
        <v>2.6</v>
      </c>
      <c r="B61" s="49" t="s">
        <v>417</v>
      </c>
      <c r="C61" s="49" t="str">
        <f t="shared" si="8"/>
        <v>2.60.60</v>
      </c>
      <c r="D61" s="49" t="s">
        <v>310</v>
      </c>
      <c r="E61" s="17" t="s">
        <v>502</v>
      </c>
      <c r="F61" s="18" t="s">
        <v>503</v>
      </c>
      <c r="G61" s="7">
        <v>513804059.25999999</v>
      </c>
      <c r="H61" s="7">
        <v>2103763443.1400001</v>
      </c>
      <c r="I61" s="158">
        <f t="shared" si="6"/>
        <v>1589959383.8800001</v>
      </c>
    </row>
    <row r="62" spans="1:9" ht="16.5">
      <c r="A62" s="72" t="str">
        <f t="shared" si="7"/>
        <v>2.6</v>
      </c>
      <c r="B62" s="49" t="s">
        <v>417</v>
      </c>
      <c r="C62" s="49" t="str">
        <f t="shared" si="8"/>
        <v>2.60.70</v>
      </c>
      <c r="D62" s="49" t="s">
        <v>504</v>
      </c>
      <c r="E62" s="21" t="s">
        <v>505</v>
      </c>
      <c r="F62" s="22" t="s">
        <v>506</v>
      </c>
      <c r="G62" s="11">
        <v>0</v>
      </c>
      <c r="H62" s="11">
        <v>29852402</v>
      </c>
      <c r="I62" s="12">
        <f t="shared" si="6"/>
        <v>29852402</v>
      </c>
    </row>
    <row r="63" spans="1:9" ht="17.25" thickBot="1">
      <c r="A63" s="72" t="str">
        <f t="shared" si="7"/>
        <v>2.6</v>
      </c>
      <c r="B63" s="49" t="s">
        <v>417</v>
      </c>
      <c r="C63" s="49" t="str">
        <f t="shared" si="8"/>
        <v>2.60.80</v>
      </c>
      <c r="D63" s="49" t="s">
        <v>507</v>
      </c>
      <c r="E63" s="55" t="s">
        <v>508</v>
      </c>
      <c r="F63" s="33" t="s">
        <v>52</v>
      </c>
      <c r="G63" s="9">
        <v>0</v>
      </c>
      <c r="H63" s="9">
        <v>0</v>
      </c>
      <c r="I63" s="48">
        <f t="shared" si="6"/>
        <v>0</v>
      </c>
    </row>
    <row r="64" spans="1:9" ht="17.25" thickBot="1">
      <c r="A64" s="72" t="str">
        <f t="shared" ref="A64:A75" si="9">+LEFT(E64,3)</f>
        <v>2.7</v>
      </c>
      <c r="B64" s="49" t="s">
        <v>509</v>
      </c>
      <c r="C64" s="49" t="str">
        <f t="shared" ref="C64:C75" si="10">+LEFT(E64,7)</f>
        <v>2.70.10</v>
      </c>
      <c r="D64" s="49" t="s">
        <v>510</v>
      </c>
      <c r="E64" s="21" t="s">
        <v>511</v>
      </c>
      <c r="F64" s="22" t="s">
        <v>512</v>
      </c>
      <c r="G64" s="9">
        <v>0</v>
      </c>
      <c r="H64" s="9">
        <v>0</v>
      </c>
      <c r="I64" s="12">
        <f t="shared" si="6"/>
        <v>0</v>
      </c>
    </row>
    <row r="65" spans="1:9" ht="17.25" thickBot="1">
      <c r="A65" s="72" t="str">
        <f t="shared" si="9"/>
        <v>2.7</v>
      </c>
      <c r="B65" s="49" t="s">
        <v>509</v>
      </c>
      <c r="C65" s="49" t="str">
        <f t="shared" si="10"/>
        <v>2.70.20</v>
      </c>
      <c r="D65" s="49" t="s">
        <v>513</v>
      </c>
      <c r="E65" s="21" t="s">
        <v>514</v>
      </c>
      <c r="F65" s="22" t="s">
        <v>515</v>
      </c>
      <c r="G65" s="9">
        <v>0</v>
      </c>
      <c r="H65" s="9">
        <v>0</v>
      </c>
      <c r="I65" s="12">
        <f t="shared" si="6"/>
        <v>0</v>
      </c>
    </row>
    <row r="66" spans="1:9" ht="17.25" thickBot="1">
      <c r="A66" s="82" t="str">
        <f t="shared" si="9"/>
        <v>2.7</v>
      </c>
      <c r="B66" s="49" t="s">
        <v>509</v>
      </c>
      <c r="C66" s="49" t="str">
        <f t="shared" si="10"/>
        <v>2.70.30</v>
      </c>
      <c r="D66" s="49" t="s">
        <v>516</v>
      </c>
      <c r="E66" s="53" t="s">
        <v>517</v>
      </c>
      <c r="F66" s="54" t="s">
        <v>518</v>
      </c>
      <c r="G66" s="9">
        <v>0</v>
      </c>
      <c r="H66" s="9">
        <v>0</v>
      </c>
      <c r="I66" s="47">
        <f t="shared" si="6"/>
        <v>0</v>
      </c>
    </row>
    <row r="67" spans="1:9" ht="17.25" thickBot="1">
      <c r="A67" s="82" t="str">
        <f t="shared" si="9"/>
        <v>2.7</v>
      </c>
      <c r="B67" s="49" t="s">
        <v>509</v>
      </c>
      <c r="C67" s="49" t="str">
        <f t="shared" si="10"/>
        <v>2.70.30</v>
      </c>
      <c r="D67" s="49" t="s">
        <v>516</v>
      </c>
      <c r="E67" s="35" t="s">
        <v>519</v>
      </c>
      <c r="F67" s="52" t="s">
        <v>520</v>
      </c>
      <c r="G67" s="9">
        <v>0</v>
      </c>
      <c r="H67" s="9">
        <v>0</v>
      </c>
      <c r="I67" s="45">
        <f t="shared" si="6"/>
        <v>0</v>
      </c>
    </row>
    <row r="68" spans="1:9" ht="17.25" thickBot="1">
      <c r="A68" s="83" t="str">
        <f t="shared" si="9"/>
        <v>2.7</v>
      </c>
      <c r="B68" s="49" t="s">
        <v>509</v>
      </c>
      <c r="C68" s="49" t="str">
        <f t="shared" si="10"/>
        <v>2.70.30</v>
      </c>
      <c r="D68" s="49" t="s">
        <v>521</v>
      </c>
      <c r="E68" s="36" t="s">
        <v>522</v>
      </c>
      <c r="F68" s="39" t="s">
        <v>523</v>
      </c>
      <c r="G68" s="9">
        <v>0</v>
      </c>
      <c r="H68" s="9">
        <v>0</v>
      </c>
      <c r="I68" s="42">
        <f t="shared" si="6"/>
        <v>0</v>
      </c>
    </row>
    <row r="69" spans="1:9" ht="17.25" thickBot="1">
      <c r="A69" s="83" t="str">
        <f t="shared" si="9"/>
        <v>2.7</v>
      </c>
      <c r="B69" s="49" t="s">
        <v>509</v>
      </c>
      <c r="C69" s="49" t="str">
        <f t="shared" si="10"/>
        <v>2.70.30</v>
      </c>
      <c r="D69" s="49" t="s">
        <v>521</v>
      </c>
      <c r="E69" s="36" t="s">
        <v>524</v>
      </c>
      <c r="F69" s="39" t="s">
        <v>525</v>
      </c>
      <c r="G69" s="9">
        <v>0</v>
      </c>
      <c r="H69" s="9">
        <v>0</v>
      </c>
      <c r="I69" s="42">
        <f t="shared" si="6"/>
        <v>0</v>
      </c>
    </row>
    <row r="70" spans="1:9" ht="17.25" thickBot="1">
      <c r="A70" s="83" t="str">
        <f t="shared" si="9"/>
        <v>2.7</v>
      </c>
      <c r="B70" s="49" t="s">
        <v>509</v>
      </c>
      <c r="C70" s="49" t="str">
        <f t="shared" si="10"/>
        <v>2.70.30</v>
      </c>
      <c r="D70" s="49" t="s">
        <v>521</v>
      </c>
      <c r="E70" s="38" t="s">
        <v>526</v>
      </c>
      <c r="F70" s="56" t="s">
        <v>527</v>
      </c>
      <c r="G70" s="9">
        <v>0</v>
      </c>
      <c r="H70" s="9">
        <v>0</v>
      </c>
      <c r="I70" s="44">
        <f t="shared" ref="I70:I75" si="11">H70-G70</f>
        <v>0</v>
      </c>
    </row>
    <row r="71" spans="1:9" ht="17.25" thickBot="1">
      <c r="A71" s="82" t="str">
        <f t="shared" si="9"/>
        <v>2.7</v>
      </c>
      <c r="B71" s="49" t="s">
        <v>509</v>
      </c>
      <c r="C71" s="49" t="str">
        <f t="shared" si="10"/>
        <v>2.70.40</v>
      </c>
      <c r="D71" s="49" t="s">
        <v>528</v>
      </c>
      <c r="E71" s="15" t="s">
        <v>529</v>
      </c>
      <c r="F71" s="16" t="s">
        <v>530</v>
      </c>
      <c r="G71" s="9">
        <v>0</v>
      </c>
      <c r="H71" s="9">
        <v>0</v>
      </c>
      <c r="I71" s="6">
        <f t="shared" si="11"/>
        <v>0</v>
      </c>
    </row>
    <row r="72" spans="1:9" ht="17.25" thickBot="1">
      <c r="A72" s="82" t="str">
        <f t="shared" si="9"/>
        <v>2.7</v>
      </c>
      <c r="B72" s="49" t="s">
        <v>509</v>
      </c>
      <c r="C72" s="49" t="str">
        <f t="shared" si="10"/>
        <v>2.70.40</v>
      </c>
      <c r="D72" s="49" t="s">
        <v>528</v>
      </c>
      <c r="E72" s="15" t="s">
        <v>531</v>
      </c>
      <c r="F72" s="16" t="s">
        <v>532</v>
      </c>
      <c r="G72" s="9">
        <v>0</v>
      </c>
      <c r="H72" s="9">
        <v>0</v>
      </c>
      <c r="I72" s="6">
        <f t="shared" si="11"/>
        <v>0</v>
      </c>
    </row>
    <row r="73" spans="1:9" ht="17.25" thickBot="1">
      <c r="A73" s="82" t="str">
        <f t="shared" si="9"/>
        <v>2.7</v>
      </c>
      <c r="B73" s="49" t="s">
        <v>509</v>
      </c>
      <c r="C73" s="49" t="str">
        <f t="shared" si="10"/>
        <v>2.70.40</v>
      </c>
      <c r="D73" s="49" t="s">
        <v>528</v>
      </c>
      <c r="E73" s="15" t="s">
        <v>533</v>
      </c>
      <c r="F73" s="16" t="s">
        <v>534</v>
      </c>
      <c r="G73" s="9">
        <v>0</v>
      </c>
      <c r="H73" s="9">
        <v>0</v>
      </c>
      <c r="I73" s="6">
        <f t="shared" si="11"/>
        <v>0</v>
      </c>
    </row>
    <row r="74" spans="1:9" ht="17.25" thickBot="1">
      <c r="A74" s="82" t="str">
        <f t="shared" si="9"/>
        <v>2.7</v>
      </c>
      <c r="B74" s="49" t="s">
        <v>509</v>
      </c>
      <c r="C74" s="49" t="str">
        <f t="shared" si="10"/>
        <v>2.70.40</v>
      </c>
      <c r="D74" s="49" t="s">
        <v>528</v>
      </c>
      <c r="E74" s="15" t="s">
        <v>535</v>
      </c>
      <c r="F74" s="16" t="s">
        <v>536</v>
      </c>
      <c r="G74" s="9">
        <v>0</v>
      </c>
      <c r="H74" s="9">
        <v>0</v>
      </c>
      <c r="I74" s="6">
        <f t="shared" si="11"/>
        <v>0</v>
      </c>
    </row>
    <row r="75" spans="1:9" ht="17.25" thickBot="1">
      <c r="A75" s="85" t="str">
        <f t="shared" si="9"/>
        <v>2.7</v>
      </c>
      <c r="B75" s="57" t="s">
        <v>509</v>
      </c>
      <c r="C75" s="49" t="str">
        <f t="shared" si="10"/>
        <v>2.70.40</v>
      </c>
      <c r="D75" s="57" t="s">
        <v>528</v>
      </c>
      <c r="E75" s="19" t="s">
        <v>537</v>
      </c>
      <c r="F75" s="20" t="s">
        <v>538</v>
      </c>
      <c r="G75" s="9">
        <v>0</v>
      </c>
      <c r="H75" s="9">
        <v>0</v>
      </c>
      <c r="I75" s="10">
        <f t="shared" si="11"/>
        <v>0</v>
      </c>
    </row>
  </sheetData>
  <sheetProtection selectLockedCells="1"/>
  <autoFilter ref="G1:I75" xr:uid="{4D64DD82-C267-4B7C-96BC-11CA0E1E7786}"/>
  <dataValidations count="2">
    <dataValidation type="custom" showInputMessage="1" showErrorMessage="1" errorTitle="ERRO!" error="Valor tem de ser um número maior ou igual a zero. " promptTitle="Valor em kwanzas" prompt="Insira um valor em kwanzas maior ou igual a zero!" sqref="G2:H75" xr:uid="{A9346C41-89B8-43F1-B438-F30476A38169}">
      <formula1>AND(ISNUMBER(G2)=TRUE,G2&gt;=0)</formula1>
    </dataValidation>
    <dataValidation type="custom" showInputMessage="1" showErrorMessage="1" sqref="G1:H1" xr:uid="{8FD46877-BE64-4452-8D54-1CBC88F502BD}">
      <formula1>G:H&gt;0</formula1>
    </dataValidation>
  </dataValidations>
  <pageMargins left="0.25" right="0.25" top="0.75" bottom="0.75" header="0.3" footer="0.3"/>
  <pageSetup paperSize="9" scale="8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7C7FE3-2CDF-4CCB-B6DD-0B38B44EB9A6}">
  <sheetPr>
    <pageSetUpPr fitToPage="1"/>
  </sheetPr>
  <dimension ref="A1:I26"/>
  <sheetViews>
    <sheetView zoomScale="68" zoomScaleNormal="70" workbookViewId="0">
      <pane ySplit="1" topLeftCell="D2" activePane="bottomLeft" state="frozen"/>
      <selection pane="bottomLeft" activeCell="D63" sqref="D63"/>
      <selection activeCell="C3" sqref="C3"/>
    </sheetView>
  </sheetViews>
  <sheetFormatPr defaultColWidth="8.7109375" defaultRowHeight="16.5"/>
  <cols>
    <col min="1" max="1" width="13.5703125" style="4" customWidth="1"/>
    <col min="2" max="2" width="44.140625" style="4" customWidth="1"/>
    <col min="3" max="3" width="20.7109375" style="4" customWidth="1"/>
    <col min="4" max="4" width="55.28515625" style="4" bestFit="1" customWidth="1"/>
    <col min="5" max="5" width="15.140625" style="4" customWidth="1"/>
    <col min="6" max="6" width="117" style="4" bestFit="1" customWidth="1"/>
    <col min="7" max="7" width="7" style="4" bestFit="1" customWidth="1"/>
    <col min="8" max="8" width="7.7109375" style="4" bestFit="1" customWidth="1"/>
    <col min="9" max="9" width="6.140625" style="4" bestFit="1" customWidth="1"/>
    <col min="10" max="16384" width="8.7109375" style="4"/>
  </cols>
  <sheetData>
    <row r="1" spans="1:9" ht="33.75" thickBot="1">
      <c r="A1" s="87" t="s">
        <v>0</v>
      </c>
      <c r="B1" s="88" t="s">
        <v>1</v>
      </c>
      <c r="C1" s="88" t="s">
        <v>2</v>
      </c>
      <c r="D1" s="88" t="s">
        <v>3</v>
      </c>
      <c r="E1" s="89" t="s">
        <v>4</v>
      </c>
      <c r="F1" s="90" t="s">
        <v>5</v>
      </c>
      <c r="G1" s="3" t="s">
        <v>6</v>
      </c>
      <c r="H1" s="3" t="s">
        <v>7</v>
      </c>
      <c r="I1" s="3" t="s">
        <v>8</v>
      </c>
    </row>
    <row r="2" spans="1:9">
      <c r="A2" s="6" t="str">
        <f>+LEFT(E2,3)</f>
        <v>3.1</v>
      </c>
      <c r="B2" s="138" t="s">
        <v>59</v>
      </c>
      <c r="C2" s="138" t="str">
        <f>+LEFT(E2,7)</f>
        <v>3.10.10</v>
      </c>
      <c r="D2" s="138" t="s">
        <v>539</v>
      </c>
      <c r="E2" s="15" t="s">
        <v>540</v>
      </c>
      <c r="F2" s="16" t="s">
        <v>63</v>
      </c>
      <c r="G2" s="5">
        <v>0</v>
      </c>
      <c r="H2" s="5">
        <v>0</v>
      </c>
      <c r="I2" s="6">
        <f t="shared" ref="I2:I26" si="0">G2-H2</f>
        <v>0</v>
      </c>
    </row>
    <row r="3" spans="1:9">
      <c r="A3" s="6" t="str">
        <f t="shared" ref="A3:A11" si="1">+LEFT(E3,3)</f>
        <v>3.1</v>
      </c>
      <c r="B3" s="138" t="s">
        <v>59</v>
      </c>
      <c r="C3" s="138" t="str">
        <f t="shared" ref="C3:C11" si="2">+LEFT(E3,7)</f>
        <v>3.10.10</v>
      </c>
      <c r="D3" s="138" t="s">
        <v>539</v>
      </c>
      <c r="E3" s="15" t="s">
        <v>541</v>
      </c>
      <c r="F3" s="16" t="s">
        <v>65</v>
      </c>
      <c r="G3" s="5">
        <v>0</v>
      </c>
      <c r="H3" s="5">
        <v>0</v>
      </c>
      <c r="I3" s="6">
        <f t="shared" si="0"/>
        <v>0</v>
      </c>
    </row>
    <row r="4" spans="1:9">
      <c r="A4" s="6" t="str">
        <f t="shared" si="1"/>
        <v>3.1</v>
      </c>
      <c r="B4" s="138" t="s">
        <v>59</v>
      </c>
      <c r="C4" s="138" t="str">
        <f t="shared" si="2"/>
        <v>3.10.10</v>
      </c>
      <c r="D4" s="138" t="s">
        <v>539</v>
      </c>
      <c r="E4" s="15" t="s">
        <v>542</v>
      </c>
      <c r="F4" s="16" t="s">
        <v>543</v>
      </c>
      <c r="G4" s="5">
        <v>0</v>
      </c>
      <c r="H4" s="5">
        <v>0</v>
      </c>
      <c r="I4" s="6">
        <f t="shared" si="0"/>
        <v>0</v>
      </c>
    </row>
    <row r="5" spans="1:9">
      <c r="A5" s="6" t="str">
        <f t="shared" si="1"/>
        <v>3.1</v>
      </c>
      <c r="B5" s="138" t="s">
        <v>59</v>
      </c>
      <c r="C5" s="138" t="str">
        <f t="shared" si="2"/>
        <v>3.10.10</v>
      </c>
      <c r="D5" s="138" t="s">
        <v>539</v>
      </c>
      <c r="E5" s="17" t="s">
        <v>544</v>
      </c>
      <c r="F5" s="18" t="s">
        <v>39</v>
      </c>
      <c r="G5" s="7">
        <v>0</v>
      </c>
      <c r="H5" s="7">
        <v>0</v>
      </c>
      <c r="I5" s="8">
        <f t="shared" si="0"/>
        <v>0</v>
      </c>
    </row>
    <row r="6" spans="1:9">
      <c r="A6" s="6" t="str">
        <f t="shared" si="1"/>
        <v>3.1</v>
      </c>
      <c r="B6" s="138" t="s">
        <v>59</v>
      </c>
      <c r="C6" s="138" t="str">
        <f t="shared" si="2"/>
        <v>3.10.20</v>
      </c>
      <c r="D6" s="138" t="s">
        <v>545</v>
      </c>
      <c r="E6" s="15" t="s">
        <v>546</v>
      </c>
      <c r="F6" s="16" t="s">
        <v>63</v>
      </c>
      <c r="G6" s="5">
        <v>0</v>
      </c>
      <c r="H6" s="5">
        <v>0</v>
      </c>
      <c r="I6" s="6">
        <f t="shared" si="0"/>
        <v>0</v>
      </c>
    </row>
    <row r="7" spans="1:9">
      <c r="A7" s="6" t="str">
        <f t="shared" si="1"/>
        <v>3.1</v>
      </c>
      <c r="B7" s="138" t="s">
        <v>59</v>
      </c>
      <c r="C7" s="138" t="str">
        <f t="shared" si="2"/>
        <v>3.10.20</v>
      </c>
      <c r="D7" s="138" t="s">
        <v>545</v>
      </c>
      <c r="E7" s="15" t="s">
        <v>547</v>
      </c>
      <c r="F7" s="16" t="s">
        <v>65</v>
      </c>
      <c r="G7" s="5">
        <v>0</v>
      </c>
      <c r="H7" s="5">
        <v>0</v>
      </c>
      <c r="I7" s="6">
        <f t="shared" si="0"/>
        <v>0</v>
      </c>
    </row>
    <row r="8" spans="1:9">
      <c r="A8" s="6" t="str">
        <f t="shared" si="1"/>
        <v>3.1</v>
      </c>
      <c r="B8" s="138" t="s">
        <v>59</v>
      </c>
      <c r="C8" s="138" t="str">
        <f t="shared" si="2"/>
        <v>3.10.20</v>
      </c>
      <c r="D8" s="138" t="s">
        <v>545</v>
      </c>
      <c r="E8" s="15" t="s">
        <v>548</v>
      </c>
      <c r="F8" s="16" t="s">
        <v>543</v>
      </c>
      <c r="G8" s="5">
        <v>0</v>
      </c>
      <c r="H8" s="5">
        <v>0</v>
      </c>
      <c r="I8" s="6">
        <f t="shared" si="0"/>
        <v>0</v>
      </c>
    </row>
    <row r="9" spans="1:9" ht="17.25" thickBot="1">
      <c r="A9" s="6" t="str">
        <f t="shared" si="1"/>
        <v>3.1</v>
      </c>
      <c r="B9" s="138" t="s">
        <v>59</v>
      </c>
      <c r="C9" s="138" t="str">
        <f t="shared" si="2"/>
        <v>3.10.20</v>
      </c>
      <c r="D9" s="138" t="s">
        <v>545</v>
      </c>
      <c r="E9" s="19" t="s">
        <v>549</v>
      </c>
      <c r="F9" s="20" t="s">
        <v>39</v>
      </c>
      <c r="G9" s="9">
        <v>0</v>
      </c>
      <c r="H9" s="9">
        <v>0</v>
      </c>
      <c r="I9" s="10">
        <f t="shared" si="0"/>
        <v>0</v>
      </c>
    </row>
    <row r="10" spans="1:9">
      <c r="A10" s="6" t="str">
        <f t="shared" si="1"/>
        <v>3.2</v>
      </c>
      <c r="B10" s="138" t="s">
        <v>550</v>
      </c>
      <c r="C10" s="138" t="str">
        <f t="shared" si="2"/>
        <v>3.20.10</v>
      </c>
      <c r="D10" s="138" t="s">
        <v>551</v>
      </c>
      <c r="E10" s="21" t="s">
        <v>552</v>
      </c>
      <c r="F10" s="22" t="s">
        <v>553</v>
      </c>
      <c r="G10" s="11">
        <v>0</v>
      </c>
      <c r="H10" s="11">
        <v>0</v>
      </c>
      <c r="I10" s="12">
        <f t="shared" si="0"/>
        <v>0</v>
      </c>
    </row>
    <row r="11" spans="1:9" ht="17.25" thickBot="1">
      <c r="A11" s="6" t="str">
        <f t="shared" si="1"/>
        <v>3.2</v>
      </c>
      <c r="B11" s="138" t="s">
        <v>550</v>
      </c>
      <c r="C11" s="138" t="str">
        <f t="shared" si="2"/>
        <v>3.20.20</v>
      </c>
      <c r="D11" s="138" t="s">
        <v>554</v>
      </c>
      <c r="E11" s="21" t="s">
        <v>555</v>
      </c>
      <c r="F11" s="24" t="s">
        <v>556</v>
      </c>
      <c r="G11" s="13">
        <v>0</v>
      </c>
      <c r="H11" s="13">
        <v>0</v>
      </c>
      <c r="I11" s="14">
        <f t="shared" si="0"/>
        <v>0</v>
      </c>
    </row>
    <row r="12" spans="1:9">
      <c r="A12" s="6" t="str">
        <f t="shared" ref="A12:A25" si="3">+LEFT(E12,3)</f>
        <v>3.3</v>
      </c>
      <c r="B12" s="138" t="s">
        <v>557</v>
      </c>
      <c r="C12" s="138" t="str">
        <f t="shared" ref="C12:C25" si="4">+LEFT(E12,7)</f>
        <v>3.30.10</v>
      </c>
      <c r="D12" s="138" t="s">
        <v>558</v>
      </c>
      <c r="E12" s="15" t="s">
        <v>559</v>
      </c>
      <c r="F12" s="16" t="s">
        <v>560</v>
      </c>
      <c r="G12" s="5">
        <v>0</v>
      </c>
      <c r="H12" s="5">
        <v>0</v>
      </c>
      <c r="I12" s="6">
        <f t="shared" si="0"/>
        <v>0</v>
      </c>
    </row>
    <row r="13" spans="1:9">
      <c r="A13" s="6" t="str">
        <f t="shared" si="3"/>
        <v>3.3</v>
      </c>
      <c r="B13" s="138" t="s">
        <v>557</v>
      </c>
      <c r="C13" s="138" t="str">
        <f t="shared" si="4"/>
        <v>3.30.10</v>
      </c>
      <c r="D13" s="138" t="s">
        <v>558</v>
      </c>
      <c r="E13" s="15" t="s">
        <v>561</v>
      </c>
      <c r="F13" s="16" t="s">
        <v>562</v>
      </c>
      <c r="G13" s="5">
        <v>0</v>
      </c>
      <c r="H13" s="5">
        <v>0</v>
      </c>
      <c r="I13" s="6">
        <f t="shared" si="0"/>
        <v>0</v>
      </c>
    </row>
    <row r="14" spans="1:9">
      <c r="A14" s="6" t="str">
        <f t="shared" si="3"/>
        <v>3.3</v>
      </c>
      <c r="B14" s="138" t="s">
        <v>557</v>
      </c>
      <c r="C14" s="138" t="str">
        <f t="shared" si="4"/>
        <v>3.30.10</v>
      </c>
      <c r="D14" s="138" t="s">
        <v>558</v>
      </c>
      <c r="E14" s="15" t="s">
        <v>563</v>
      </c>
      <c r="F14" s="16" t="s">
        <v>564</v>
      </c>
      <c r="G14" s="5">
        <v>0</v>
      </c>
      <c r="H14" s="5">
        <v>0</v>
      </c>
      <c r="I14" s="6">
        <f t="shared" si="0"/>
        <v>0</v>
      </c>
    </row>
    <row r="15" spans="1:9">
      <c r="A15" s="6" t="str">
        <f t="shared" si="3"/>
        <v>3.3</v>
      </c>
      <c r="B15" s="138" t="s">
        <v>557</v>
      </c>
      <c r="C15" s="138" t="str">
        <f t="shared" si="4"/>
        <v>3.30.10</v>
      </c>
      <c r="D15" s="138" t="s">
        <v>558</v>
      </c>
      <c r="E15" s="15" t="s">
        <v>565</v>
      </c>
      <c r="F15" s="16" t="s">
        <v>566</v>
      </c>
      <c r="G15" s="5">
        <v>0</v>
      </c>
      <c r="H15" s="5">
        <v>0</v>
      </c>
      <c r="I15" s="6">
        <f t="shared" si="0"/>
        <v>0</v>
      </c>
    </row>
    <row r="16" spans="1:9">
      <c r="A16" s="6" t="str">
        <f t="shared" si="3"/>
        <v>3.3</v>
      </c>
      <c r="B16" s="138" t="s">
        <v>557</v>
      </c>
      <c r="C16" s="138" t="str">
        <f t="shared" si="4"/>
        <v>3.30.10</v>
      </c>
      <c r="D16" s="138" t="s">
        <v>558</v>
      </c>
      <c r="E16" s="15" t="s">
        <v>567</v>
      </c>
      <c r="F16" s="16" t="s">
        <v>568</v>
      </c>
      <c r="G16" s="5">
        <v>0</v>
      </c>
      <c r="H16" s="5">
        <v>0</v>
      </c>
      <c r="I16" s="6">
        <f t="shared" si="0"/>
        <v>0</v>
      </c>
    </row>
    <row r="17" spans="1:9">
      <c r="A17" s="6" t="str">
        <f t="shared" si="3"/>
        <v>3.3</v>
      </c>
      <c r="B17" s="138" t="s">
        <v>557</v>
      </c>
      <c r="C17" s="138" t="str">
        <f t="shared" si="4"/>
        <v>3.30.10</v>
      </c>
      <c r="D17" s="138" t="s">
        <v>558</v>
      </c>
      <c r="E17" s="15" t="s">
        <v>569</v>
      </c>
      <c r="F17" s="16" t="s">
        <v>570</v>
      </c>
      <c r="G17" s="5">
        <v>0</v>
      </c>
      <c r="H17" s="5">
        <v>0</v>
      </c>
      <c r="I17" s="6">
        <f t="shared" si="0"/>
        <v>0</v>
      </c>
    </row>
    <row r="18" spans="1:9">
      <c r="A18" s="6" t="str">
        <f t="shared" si="3"/>
        <v>3.3</v>
      </c>
      <c r="B18" s="138" t="s">
        <v>557</v>
      </c>
      <c r="C18" s="138" t="str">
        <f t="shared" si="4"/>
        <v>3.30.10</v>
      </c>
      <c r="D18" s="138" t="s">
        <v>558</v>
      </c>
      <c r="E18" s="15" t="s">
        <v>571</v>
      </c>
      <c r="F18" s="16" t="s">
        <v>572</v>
      </c>
      <c r="G18" s="5">
        <v>0</v>
      </c>
      <c r="H18" s="5">
        <v>0</v>
      </c>
      <c r="I18" s="6">
        <f t="shared" si="0"/>
        <v>0</v>
      </c>
    </row>
    <row r="19" spans="1:9">
      <c r="A19" s="6" t="str">
        <f t="shared" si="3"/>
        <v>3.3</v>
      </c>
      <c r="B19" s="138" t="s">
        <v>557</v>
      </c>
      <c r="C19" s="138" t="str">
        <f t="shared" si="4"/>
        <v>3.30.10</v>
      </c>
      <c r="D19" s="138" t="s">
        <v>558</v>
      </c>
      <c r="E19" s="15" t="s">
        <v>573</v>
      </c>
      <c r="F19" s="16" t="s">
        <v>574</v>
      </c>
      <c r="G19" s="5">
        <v>0</v>
      </c>
      <c r="H19" s="5">
        <v>0</v>
      </c>
      <c r="I19" s="6">
        <f t="shared" si="0"/>
        <v>0</v>
      </c>
    </row>
    <row r="20" spans="1:9" ht="17.25" thickBot="1">
      <c r="A20" s="6" t="str">
        <f t="shared" si="3"/>
        <v>3.3</v>
      </c>
      <c r="B20" s="138" t="s">
        <v>557</v>
      </c>
      <c r="C20" s="138" t="str">
        <f t="shared" si="4"/>
        <v>3.30.10</v>
      </c>
      <c r="D20" s="138" t="s">
        <v>558</v>
      </c>
      <c r="E20" s="19" t="s">
        <v>575</v>
      </c>
      <c r="F20" s="20" t="s">
        <v>576</v>
      </c>
      <c r="G20" s="9">
        <v>0</v>
      </c>
      <c r="H20" s="9">
        <v>0</v>
      </c>
      <c r="I20" s="10">
        <f t="shared" si="0"/>
        <v>0</v>
      </c>
    </row>
    <row r="21" spans="1:9">
      <c r="A21" s="6" t="str">
        <f t="shared" si="3"/>
        <v>3.4</v>
      </c>
      <c r="B21" s="139" t="s">
        <v>577</v>
      </c>
      <c r="C21" s="138" t="str">
        <f t="shared" si="4"/>
        <v>3.40.10</v>
      </c>
      <c r="D21" s="138" t="s">
        <v>578</v>
      </c>
      <c r="E21" s="21" t="s">
        <v>579</v>
      </c>
      <c r="F21" s="22" t="s">
        <v>157</v>
      </c>
      <c r="G21" s="11">
        <v>0</v>
      </c>
      <c r="H21" s="11">
        <v>0</v>
      </c>
      <c r="I21" s="12">
        <f t="shared" si="0"/>
        <v>0</v>
      </c>
    </row>
    <row r="22" spans="1:9" ht="17.25" thickBot="1">
      <c r="A22" s="6" t="str">
        <f t="shared" si="3"/>
        <v>3.4</v>
      </c>
      <c r="B22" s="139" t="s">
        <v>577</v>
      </c>
      <c r="C22" s="138" t="str">
        <f t="shared" si="4"/>
        <v>3.40.20</v>
      </c>
      <c r="D22" s="138" t="s">
        <v>580</v>
      </c>
      <c r="E22" s="23" t="s">
        <v>581</v>
      </c>
      <c r="F22" s="24" t="s">
        <v>159</v>
      </c>
      <c r="G22" s="13">
        <v>0</v>
      </c>
      <c r="H22" s="13">
        <v>0</v>
      </c>
      <c r="I22" s="14">
        <f t="shared" si="0"/>
        <v>0</v>
      </c>
    </row>
    <row r="23" spans="1:9">
      <c r="A23" s="6" t="str">
        <f t="shared" si="3"/>
        <v>3.4</v>
      </c>
      <c r="B23" s="138" t="s">
        <v>582</v>
      </c>
      <c r="C23" s="138" t="str">
        <f t="shared" si="4"/>
        <v>3.45.10</v>
      </c>
      <c r="D23" s="138" t="s">
        <v>583</v>
      </c>
      <c r="E23" s="21" t="s">
        <v>584</v>
      </c>
      <c r="F23" s="22" t="s">
        <v>35</v>
      </c>
      <c r="G23" s="11">
        <v>0</v>
      </c>
      <c r="H23" s="11">
        <v>0</v>
      </c>
      <c r="I23" s="12">
        <f t="shared" si="0"/>
        <v>0</v>
      </c>
    </row>
    <row r="24" spans="1:9">
      <c r="A24" s="6" t="str">
        <f t="shared" si="3"/>
        <v>3.4</v>
      </c>
      <c r="B24" s="138" t="s">
        <v>582</v>
      </c>
      <c r="C24" s="138" t="str">
        <f t="shared" si="4"/>
        <v>3.45.20</v>
      </c>
      <c r="D24" s="138" t="s">
        <v>585</v>
      </c>
      <c r="E24" s="21" t="s">
        <v>586</v>
      </c>
      <c r="F24" s="22" t="s">
        <v>37</v>
      </c>
      <c r="G24" s="11">
        <v>0</v>
      </c>
      <c r="H24" s="11">
        <v>0</v>
      </c>
      <c r="I24" s="12">
        <f t="shared" si="0"/>
        <v>0</v>
      </c>
    </row>
    <row r="25" spans="1:9" ht="17.25" thickBot="1">
      <c r="A25" s="6" t="str">
        <f t="shared" si="3"/>
        <v>3.4</v>
      </c>
      <c r="B25" s="138" t="s">
        <v>582</v>
      </c>
      <c r="C25" s="138" t="str">
        <f t="shared" si="4"/>
        <v>3.45.30</v>
      </c>
      <c r="D25" s="138" t="s">
        <v>587</v>
      </c>
      <c r="E25" s="23" t="s">
        <v>588</v>
      </c>
      <c r="F25" s="24" t="s">
        <v>39</v>
      </c>
      <c r="G25" s="13">
        <v>0</v>
      </c>
      <c r="H25" s="13">
        <v>0</v>
      </c>
      <c r="I25" s="14">
        <f t="shared" si="0"/>
        <v>0</v>
      </c>
    </row>
    <row r="26" spans="1:9" ht="17.25" thickBot="1">
      <c r="A26" s="6" t="str">
        <f t="shared" ref="A26" si="5">+LEFT(E26,3)</f>
        <v>3.5</v>
      </c>
      <c r="B26" s="140" t="s">
        <v>589</v>
      </c>
      <c r="C26" s="138" t="str">
        <f t="shared" ref="C26" si="6">+LEFT(E26,7)</f>
        <v>3.50.10</v>
      </c>
      <c r="D26" s="140" t="s">
        <v>590</v>
      </c>
      <c r="E26" s="19" t="s">
        <v>591</v>
      </c>
      <c r="F26" s="20" t="s">
        <v>157</v>
      </c>
      <c r="G26" s="9">
        <v>0</v>
      </c>
      <c r="H26" s="9">
        <v>0</v>
      </c>
      <c r="I26" s="10">
        <f t="shared" si="0"/>
        <v>0</v>
      </c>
    </row>
  </sheetData>
  <sheetProtection selectLockedCells="1"/>
  <dataValidations count="2">
    <dataValidation type="custom" showInputMessage="1" showErrorMessage="1" errorTitle="ERRO!" error="Valor tem de ser um número maior ou igual a zero. " promptTitle="Valor em kwanzas" prompt="Insira um valor em kwanzas maior ou igual a zero!" sqref="G2:H26" xr:uid="{6F0F7782-D62B-494E-9746-533334CA6726}">
      <formula1>AND(ISNUMBER(G2)=TRUE,G2&gt;=0)</formula1>
    </dataValidation>
    <dataValidation type="custom" showInputMessage="1" showErrorMessage="1" sqref="G1:H1" xr:uid="{1151F0F5-DB9C-488C-B843-05177FBAB3A2}">
      <formula1>G:H&gt;0</formula1>
    </dataValidation>
  </dataValidations>
  <pageMargins left="0.25" right="0.25" top="0.75" bottom="0.75" header="0.3" footer="0.3"/>
  <pageSetup paperSize="9" scale="86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AEC2B-13B3-4EB0-BA42-2EE4B21F6220}">
  <sheetPr>
    <pageSetUpPr fitToPage="1"/>
  </sheetPr>
  <dimension ref="A1:K20"/>
  <sheetViews>
    <sheetView topLeftCell="B1" zoomScale="85" zoomScaleNormal="85" workbookViewId="0">
      <pane ySplit="1" topLeftCell="D2" activePane="bottomLeft" state="frozen"/>
      <selection pane="bottomLeft"/>
      <selection activeCell="C3" sqref="C3"/>
    </sheetView>
  </sheetViews>
  <sheetFormatPr defaultRowHeight="15"/>
  <cols>
    <col min="1" max="1" width="19.5703125" customWidth="1"/>
    <col min="2" max="2" width="72.7109375" bestFit="1" customWidth="1"/>
    <col min="3" max="3" width="72.7109375" customWidth="1"/>
    <col min="4" max="4" width="72.7109375" bestFit="1" customWidth="1"/>
    <col min="5" max="5" width="14.85546875" customWidth="1"/>
    <col min="6" max="6" width="83.28515625" bestFit="1" customWidth="1"/>
    <col min="7" max="7" width="6.7109375" bestFit="1" customWidth="1"/>
    <col min="8" max="8" width="7.5703125" bestFit="1" customWidth="1"/>
    <col min="9" max="9" width="6.140625" bestFit="1" customWidth="1"/>
  </cols>
  <sheetData>
    <row r="1" spans="1:11" s="4" customFormat="1" ht="39.4" customHeight="1" thickBot="1">
      <c r="A1" s="87" t="s">
        <v>0</v>
      </c>
      <c r="B1" s="88" t="s">
        <v>1</v>
      </c>
      <c r="C1" s="88" t="s">
        <v>2</v>
      </c>
      <c r="D1" s="88" t="s">
        <v>3</v>
      </c>
      <c r="E1" s="89" t="s">
        <v>4</v>
      </c>
      <c r="F1" s="90" t="s">
        <v>5</v>
      </c>
      <c r="G1" s="3" t="s">
        <v>6</v>
      </c>
      <c r="H1" s="3" t="s">
        <v>7</v>
      </c>
      <c r="I1" s="3" t="s">
        <v>8</v>
      </c>
      <c r="J1" s="152"/>
    </row>
    <row r="2" spans="1:11" s="4" customFormat="1" ht="17.25" thickBot="1">
      <c r="A2" s="86" t="str">
        <f>+LEFT(E2,3)</f>
        <v>4.1</v>
      </c>
      <c r="B2" s="32" t="s">
        <v>59</v>
      </c>
      <c r="C2" s="32" t="str">
        <f>+LEFT(E2,7)</f>
        <v>4.10.10</v>
      </c>
      <c r="D2" s="32" t="s">
        <v>592</v>
      </c>
      <c r="E2" s="21" t="s">
        <v>593</v>
      </c>
      <c r="F2" s="22" t="s">
        <v>594</v>
      </c>
      <c r="G2" s="11">
        <v>0</v>
      </c>
      <c r="H2" s="11">
        <v>0</v>
      </c>
      <c r="I2" s="30">
        <f t="shared" ref="I2:I16" si="0">H2-G2</f>
        <v>0</v>
      </c>
    </row>
    <row r="3" spans="1:11" s="4" customFormat="1" ht="17.25" thickBot="1">
      <c r="A3" s="86" t="str">
        <f t="shared" ref="A3:A4" si="1">+LEFT(E3,3)</f>
        <v>4.2</v>
      </c>
      <c r="B3" s="32" t="s">
        <v>550</v>
      </c>
      <c r="C3" s="32" t="str">
        <f t="shared" ref="C3:C4" si="2">+LEFT(E3,7)</f>
        <v>4.20.10</v>
      </c>
      <c r="D3" s="32" t="s">
        <v>595</v>
      </c>
      <c r="E3" s="21" t="s">
        <v>596</v>
      </c>
      <c r="F3" s="22" t="s">
        <v>597</v>
      </c>
      <c r="G3" s="11">
        <v>0</v>
      </c>
      <c r="H3" s="11">
        <v>0</v>
      </c>
      <c r="I3" s="30">
        <f t="shared" si="0"/>
        <v>0</v>
      </c>
    </row>
    <row r="4" spans="1:11" s="4" customFormat="1" ht="17.25" thickBot="1">
      <c r="A4" s="86" t="str">
        <f t="shared" si="1"/>
        <v>4.2</v>
      </c>
      <c r="B4" s="32" t="s">
        <v>550</v>
      </c>
      <c r="C4" s="32" t="str">
        <f t="shared" si="2"/>
        <v>4.20.20</v>
      </c>
      <c r="D4" s="32" t="s">
        <v>598</v>
      </c>
      <c r="E4" s="21" t="s">
        <v>599</v>
      </c>
      <c r="F4" s="24" t="s">
        <v>600</v>
      </c>
      <c r="G4" s="13">
        <v>0</v>
      </c>
      <c r="H4" s="13">
        <v>0</v>
      </c>
      <c r="I4" s="58">
        <f t="shared" si="0"/>
        <v>0</v>
      </c>
    </row>
    <row r="5" spans="1:11" s="4" customFormat="1" ht="13.9" customHeight="1" thickBot="1">
      <c r="A5" s="86" t="str">
        <f t="shared" ref="A5:A16" si="3">+LEFT(E5,3)</f>
        <v>4.3</v>
      </c>
      <c r="B5" s="32" t="s">
        <v>300</v>
      </c>
      <c r="C5" s="32" t="str">
        <f t="shared" ref="C5:C12" si="4">+LEFT(E5,7)</f>
        <v>4.30.10</v>
      </c>
      <c r="D5" s="32" t="s">
        <v>601</v>
      </c>
      <c r="E5" s="15" t="s">
        <v>602</v>
      </c>
      <c r="F5" s="16" t="s">
        <v>603</v>
      </c>
      <c r="G5" s="5">
        <v>0</v>
      </c>
      <c r="H5" s="5">
        <v>0</v>
      </c>
      <c r="I5" s="25">
        <f t="shared" si="0"/>
        <v>0</v>
      </c>
    </row>
    <row r="6" spans="1:11" s="4" customFormat="1" ht="17.649999999999999" customHeight="1" thickBot="1">
      <c r="A6" s="86" t="str">
        <f t="shared" si="3"/>
        <v>4.3</v>
      </c>
      <c r="B6" s="32" t="s">
        <v>300</v>
      </c>
      <c r="C6" s="32" t="str">
        <f t="shared" si="4"/>
        <v>4.30.10</v>
      </c>
      <c r="D6" s="32" t="s">
        <v>601</v>
      </c>
      <c r="E6" s="15" t="s">
        <v>604</v>
      </c>
      <c r="F6" s="16" t="s">
        <v>605</v>
      </c>
      <c r="G6" s="5">
        <v>0</v>
      </c>
      <c r="H6" s="5">
        <v>0</v>
      </c>
      <c r="I6" s="25">
        <f t="shared" si="0"/>
        <v>0</v>
      </c>
    </row>
    <row r="7" spans="1:11" s="4" customFormat="1" ht="17.25" thickBot="1">
      <c r="A7" s="86" t="str">
        <f t="shared" si="3"/>
        <v>4.3</v>
      </c>
      <c r="B7" s="32" t="s">
        <v>300</v>
      </c>
      <c r="C7" s="32" t="str">
        <f t="shared" si="4"/>
        <v>4.30.10</v>
      </c>
      <c r="D7" s="32" t="s">
        <v>601</v>
      </c>
      <c r="E7" s="15" t="s">
        <v>606</v>
      </c>
      <c r="F7" s="16" t="s">
        <v>607</v>
      </c>
      <c r="G7" s="5">
        <v>0</v>
      </c>
      <c r="H7" s="5">
        <v>0</v>
      </c>
      <c r="I7" s="25">
        <f t="shared" si="0"/>
        <v>0</v>
      </c>
    </row>
    <row r="8" spans="1:11" s="4" customFormat="1" ht="21.4" customHeight="1" thickBot="1">
      <c r="A8" s="86" t="str">
        <f t="shared" si="3"/>
        <v>4.3</v>
      </c>
      <c r="B8" s="32" t="s">
        <v>300</v>
      </c>
      <c r="C8" s="32" t="str">
        <f t="shared" si="4"/>
        <v>4.30.10</v>
      </c>
      <c r="D8" s="32" t="s">
        <v>601</v>
      </c>
      <c r="E8" s="15" t="s">
        <v>608</v>
      </c>
      <c r="F8" s="16" t="s">
        <v>609</v>
      </c>
      <c r="G8" s="5">
        <v>0</v>
      </c>
      <c r="H8" s="5">
        <v>0</v>
      </c>
      <c r="I8" s="25">
        <f t="shared" si="0"/>
        <v>0</v>
      </c>
    </row>
    <row r="9" spans="1:11" s="4" customFormat="1" ht="22.5" customHeight="1" thickBot="1">
      <c r="A9" s="86" t="str">
        <f t="shared" si="3"/>
        <v>4.3</v>
      </c>
      <c r="B9" s="32" t="s">
        <v>300</v>
      </c>
      <c r="C9" s="32" t="str">
        <f t="shared" si="4"/>
        <v>4.30.10</v>
      </c>
      <c r="D9" s="32" t="s">
        <v>601</v>
      </c>
      <c r="E9" s="15" t="s">
        <v>610</v>
      </c>
      <c r="F9" s="16" t="s">
        <v>576</v>
      </c>
      <c r="G9" s="5">
        <v>0</v>
      </c>
      <c r="H9" s="5">
        <v>0</v>
      </c>
      <c r="I9" s="25">
        <f t="shared" si="0"/>
        <v>0</v>
      </c>
    </row>
    <row r="10" spans="1:11" s="61" customFormat="1" ht="26.65" customHeight="1" thickBot="1">
      <c r="A10" s="86" t="str">
        <f t="shared" si="3"/>
        <v>4.4</v>
      </c>
      <c r="B10" s="32" t="s">
        <v>611</v>
      </c>
      <c r="C10" s="32" t="str">
        <f t="shared" si="4"/>
        <v>4.40</v>
      </c>
      <c r="D10" s="32" t="s">
        <v>611</v>
      </c>
      <c r="E10" s="62" t="s">
        <v>612</v>
      </c>
      <c r="F10" s="63" t="s">
        <v>613</v>
      </c>
      <c r="G10" s="59">
        <v>0</v>
      </c>
      <c r="H10" s="59">
        <v>0</v>
      </c>
      <c r="I10" s="60">
        <f t="shared" si="0"/>
        <v>0</v>
      </c>
      <c r="J10" s="4"/>
      <c r="K10" s="4"/>
    </row>
    <row r="11" spans="1:11" s="61" customFormat="1" ht="20.65" customHeight="1" thickBot="1">
      <c r="A11" s="86" t="str">
        <f t="shared" si="3"/>
        <v>4.4</v>
      </c>
      <c r="B11" s="32" t="s">
        <v>614</v>
      </c>
      <c r="C11" s="32" t="str">
        <f t="shared" si="4"/>
        <v>4.45</v>
      </c>
      <c r="D11" s="32" t="s">
        <v>614</v>
      </c>
      <c r="E11" s="62" t="s">
        <v>615</v>
      </c>
      <c r="F11" s="63" t="s">
        <v>616</v>
      </c>
      <c r="G11" s="59">
        <v>0</v>
      </c>
      <c r="H11" s="59">
        <v>0</v>
      </c>
      <c r="I11" s="60">
        <f t="shared" si="0"/>
        <v>0</v>
      </c>
      <c r="J11" s="4"/>
      <c r="K11" s="4"/>
    </row>
    <row r="12" spans="1:11" s="61" customFormat="1" ht="17.25" thickBot="1">
      <c r="A12" s="86" t="str">
        <f t="shared" si="3"/>
        <v>4.5</v>
      </c>
      <c r="B12" s="32" t="s">
        <v>617</v>
      </c>
      <c r="C12" s="32" t="str">
        <f t="shared" si="4"/>
        <v>4.50</v>
      </c>
      <c r="D12" s="32" t="s">
        <v>617</v>
      </c>
      <c r="E12" s="62" t="s">
        <v>618</v>
      </c>
      <c r="F12" s="63" t="s">
        <v>619</v>
      </c>
      <c r="G12" s="59">
        <v>0</v>
      </c>
      <c r="H12" s="59">
        <v>0</v>
      </c>
      <c r="I12" s="60">
        <f t="shared" si="0"/>
        <v>0</v>
      </c>
      <c r="J12" s="4"/>
      <c r="K12" s="4"/>
    </row>
    <row r="13" spans="1:11" s="4" customFormat="1" ht="17.25" thickBot="1">
      <c r="A13" s="86" t="str">
        <f t="shared" si="3"/>
        <v>4.6</v>
      </c>
      <c r="B13" s="32" t="s">
        <v>620</v>
      </c>
      <c r="C13" s="32" t="str">
        <f t="shared" ref="C13:C16" si="5">+LEFT(E13,7)</f>
        <v>4.60.10</v>
      </c>
      <c r="D13" s="32" t="s">
        <v>621</v>
      </c>
      <c r="E13" s="15" t="s">
        <v>622</v>
      </c>
      <c r="F13" s="16" t="s">
        <v>623</v>
      </c>
      <c r="G13" s="5">
        <v>0</v>
      </c>
      <c r="H13" s="5">
        <v>0</v>
      </c>
      <c r="I13" s="25">
        <f t="shared" si="0"/>
        <v>0</v>
      </c>
    </row>
    <row r="14" spans="1:11" s="4" customFormat="1" ht="17.25" thickBot="1">
      <c r="A14" s="86" t="str">
        <f t="shared" si="3"/>
        <v>4.6</v>
      </c>
      <c r="B14" s="32" t="s">
        <v>620</v>
      </c>
      <c r="C14" s="32" t="str">
        <f t="shared" si="5"/>
        <v>4.60.10</v>
      </c>
      <c r="D14" s="32" t="s">
        <v>621</v>
      </c>
      <c r="E14" s="15" t="s">
        <v>624</v>
      </c>
      <c r="F14" s="16" t="s">
        <v>625</v>
      </c>
      <c r="G14" s="5">
        <v>0</v>
      </c>
      <c r="H14" s="5">
        <v>0</v>
      </c>
      <c r="I14" s="25">
        <f t="shared" si="0"/>
        <v>0</v>
      </c>
    </row>
    <row r="15" spans="1:11" s="4" customFormat="1" ht="17.25" thickBot="1">
      <c r="A15" s="86" t="str">
        <f t="shared" si="3"/>
        <v>4.6</v>
      </c>
      <c r="B15" s="32" t="s">
        <v>620</v>
      </c>
      <c r="C15" s="32" t="str">
        <f t="shared" si="5"/>
        <v>4.60.10</v>
      </c>
      <c r="D15" s="32" t="s">
        <v>621</v>
      </c>
      <c r="E15" s="19" t="s">
        <v>626</v>
      </c>
      <c r="F15" s="20" t="s">
        <v>627</v>
      </c>
      <c r="G15" s="9">
        <v>0</v>
      </c>
      <c r="H15" s="9">
        <v>0</v>
      </c>
      <c r="I15" s="27">
        <f t="shared" si="0"/>
        <v>0</v>
      </c>
    </row>
    <row r="16" spans="1:11" s="61" customFormat="1" ht="17.25" thickBot="1">
      <c r="A16" s="86" t="str">
        <f t="shared" si="3"/>
        <v>4.7</v>
      </c>
      <c r="B16" s="32" t="s">
        <v>628</v>
      </c>
      <c r="C16" s="32" t="str">
        <f t="shared" si="5"/>
        <v>4.70</v>
      </c>
      <c r="D16" s="32" t="s">
        <v>628</v>
      </c>
      <c r="E16" s="62" t="s">
        <v>629</v>
      </c>
      <c r="F16" s="63" t="s">
        <v>630</v>
      </c>
      <c r="G16" s="59">
        <v>0</v>
      </c>
      <c r="H16" s="59">
        <v>0</v>
      </c>
      <c r="I16" s="60">
        <f t="shared" si="0"/>
        <v>0</v>
      </c>
      <c r="J16" s="4"/>
      <c r="K16" s="4"/>
    </row>
    <row r="17" s="4" customFormat="1" ht="16.5"/>
    <row r="18" s="4" customFormat="1" ht="16.5"/>
    <row r="19" s="4" customFormat="1" ht="16.5"/>
    <row r="20" s="4" customFormat="1" ht="16.5"/>
  </sheetData>
  <sheetProtection selectLockedCells="1"/>
  <dataValidations count="2">
    <dataValidation type="custom" showInputMessage="1" showErrorMessage="1" errorTitle="ERRO!" error="Valor tem de ser um número maior ou igual a zero. " promptTitle="Valor em kwanzas" prompt="Insira um valor em kwanzas maior ou igual a zero!" sqref="G2:H16" xr:uid="{196A3255-32F7-4CE9-A4D5-5A3D7F63EA77}">
      <formula1>AND(ISNUMBER(G2)=TRUE,G2&gt;=0)</formula1>
    </dataValidation>
    <dataValidation type="custom" showInputMessage="1" showErrorMessage="1" sqref="G1:H1" xr:uid="{7B02ECA1-CFAA-46A7-9CCB-3A4F272202AB}">
      <formula1>G:H&gt;0</formula1>
    </dataValidation>
  </dataValidations>
  <pageMargins left="0.25" right="0.25" top="0.75" bottom="0.75" header="0.3" footer="0.3"/>
  <pageSetup paperSize="9" scale="86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CE5FA-A8CA-4D91-AD42-FBBEA5755D00}">
  <sheetPr>
    <pageSetUpPr fitToPage="1"/>
  </sheetPr>
  <dimension ref="A1:J18"/>
  <sheetViews>
    <sheetView zoomScale="70" zoomScaleNormal="70" workbookViewId="0">
      <pane ySplit="1" topLeftCell="A2" activePane="bottomLeft" state="frozen"/>
      <selection pane="bottomLeft" activeCell="J1" sqref="J1"/>
      <selection activeCell="C3" sqref="C3"/>
    </sheetView>
  </sheetViews>
  <sheetFormatPr defaultRowHeight="15"/>
  <cols>
    <col min="1" max="1" width="13.7109375" customWidth="1"/>
    <col min="2" max="2" width="27.28515625" customWidth="1"/>
    <col min="3" max="3" width="16.28515625" customWidth="1"/>
    <col min="4" max="4" width="52.7109375" customWidth="1"/>
    <col min="5" max="5" width="19.140625" customWidth="1"/>
    <col min="6" max="6" width="39.7109375" customWidth="1"/>
    <col min="7" max="7" width="19" bestFit="1" customWidth="1"/>
    <col min="8" max="8" width="25.140625" customWidth="1"/>
    <col min="9" max="9" width="42.7109375" customWidth="1"/>
  </cols>
  <sheetData>
    <row r="1" spans="1:10" s="4" customFormat="1" ht="33.75" thickBot="1">
      <c r="A1" s="87" t="s">
        <v>0</v>
      </c>
      <c r="B1" s="88" t="s">
        <v>1</v>
      </c>
      <c r="C1" s="88" t="s">
        <v>2</v>
      </c>
      <c r="D1" s="88" t="s">
        <v>3</v>
      </c>
      <c r="E1" s="89" t="s">
        <v>4</v>
      </c>
      <c r="F1" s="90" t="s">
        <v>5</v>
      </c>
      <c r="G1" s="3" t="s">
        <v>6</v>
      </c>
      <c r="H1" s="3" t="s">
        <v>7</v>
      </c>
      <c r="I1" s="3" t="s">
        <v>8</v>
      </c>
      <c r="J1" s="141"/>
    </row>
    <row r="2" spans="1:10" s="4" customFormat="1" ht="17.25" thickBot="1">
      <c r="A2" s="25" t="str">
        <f>+LEFT(E2,3)</f>
        <v>5.1</v>
      </c>
      <c r="B2" s="32" t="s">
        <v>631</v>
      </c>
      <c r="C2" s="32" t="str">
        <f>+LEFT(E2,7)</f>
        <v>5.10.10</v>
      </c>
      <c r="D2" s="32" t="s">
        <v>632</v>
      </c>
      <c r="E2" s="15" t="s">
        <v>633</v>
      </c>
      <c r="F2" s="16" t="s">
        <v>634</v>
      </c>
      <c r="G2" s="5">
        <v>0</v>
      </c>
      <c r="H2" s="5">
        <v>50000000</v>
      </c>
      <c r="I2" s="25">
        <f t="shared" ref="I2:I16" si="0">ABS(G2-H2)</f>
        <v>50000000</v>
      </c>
    </row>
    <row r="3" spans="1:10" s="4" customFormat="1" ht="17.25" thickBot="1">
      <c r="A3" s="25" t="str">
        <f t="shared" ref="A3:A16" si="1">+LEFT(E3,3)</f>
        <v>5.1</v>
      </c>
      <c r="B3" s="32" t="s">
        <v>631</v>
      </c>
      <c r="C3" s="32" t="str">
        <f t="shared" ref="C3:C16" si="2">+LEFT(E3,7)</f>
        <v>5.10.10</v>
      </c>
      <c r="D3" s="32" t="s">
        <v>632</v>
      </c>
      <c r="E3" s="15" t="s">
        <v>635</v>
      </c>
      <c r="F3" s="16" t="s">
        <v>636</v>
      </c>
      <c r="G3" s="5">
        <v>0</v>
      </c>
      <c r="H3" s="5">
        <v>350000000</v>
      </c>
      <c r="I3" s="25">
        <f t="shared" si="0"/>
        <v>350000000</v>
      </c>
    </row>
    <row r="4" spans="1:10" s="4" customFormat="1" ht="17.25" thickBot="1">
      <c r="A4" s="25" t="str">
        <f t="shared" si="1"/>
        <v>5.1</v>
      </c>
      <c r="B4" s="32" t="s">
        <v>631</v>
      </c>
      <c r="C4" s="32" t="str">
        <f t="shared" si="2"/>
        <v>5.10.10</v>
      </c>
      <c r="D4" s="32" t="s">
        <v>632</v>
      </c>
      <c r="E4" s="15" t="s">
        <v>637</v>
      </c>
      <c r="F4" s="16" t="s">
        <v>638</v>
      </c>
      <c r="G4" s="5">
        <v>0</v>
      </c>
      <c r="H4" s="5">
        <v>0</v>
      </c>
      <c r="I4" s="25">
        <f t="shared" si="0"/>
        <v>0</v>
      </c>
    </row>
    <row r="5" spans="1:10" s="4" customFormat="1" ht="17.25" thickBot="1">
      <c r="A5" s="25" t="str">
        <f t="shared" si="1"/>
        <v>5.1</v>
      </c>
      <c r="B5" s="32" t="s">
        <v>631</v>
      </c>
      <c r="C5" s="32" t="str">
        <f t="shared" si="2"/>
        <v>5.10.10</v>
      </c>
      <c r="D5" s="32" t="s">
        <v>632</v>
      </c>
      <c r="E5" s="17" t="s">
        <v>639</v>
      </c>
      <c r="F5" s="18" t="s">
        <v>640</v>
      </c>
      <c r="G5" s="7">
        <v>0</v>
      </c>
      <c r="H5" s="7">
        <v>0</v>
      </c>
      <c r="I5" s="26">
        <f t="shared" si="0"/>
        <v>0</v>
      </c>
    </row>
    <row r="6" spans="1:10" s="4" customFormat="1" ht="17.25" thickBot="1">
      <c r="A6" s="25" t="str">
        <f t="shared" si="1"/>
        <v>5.1</v>
      </c>
      <c r="B6" s="32" t="s">
        <v>631</v>
      </c>
      <c r="C6" s="32" t="str">
        <f t="shared" si="2"/>
        <v>5.10.20</v>
      </c>
      <c r="D6" s="32" t="s">
        <v>641</v>
      </c>
      <c r="E6" s="105" t="s">
        <v>642</v>
      </c>
      <c r="F6" s="142" t="s">
        <v>643</v>
      </c>
      <c r="G6" s="143">
        <v>974741.67</v>
      </c>
      <c r="H6" s="143">
        <v>974741.67</v>
      </c>
      <c r="I6" s="95">
        <f t="shared" si="0"/>
        <v>0</v>
      </c>
    </row>
    <row r="7" spans="1:10" s="4" customFormat="1" ht="17.25" thickBot="1">
      <c r="A7" s="25" t="str">
        <f t="shared" si="1"/>
        <v>5.1</v>
      </c>
      <c r="B7" s="32" t="s">
        <v>631</v>
      </c>
      <c r="C7" s="32" t="str">
        <f t="shared" si="2"/>
        <v>5.10.30</v>
      </c>
      <c r="D7" s="32" t="s">
        <v>644</v>
      </c>
      <c r="E7" s="15" t="s">
        <v>645</v>
      </c>
      <c r="F7" s="16" t="s">
        <v>646</v>
      </c>
      <c r="G7" s="5">
        <v>0</v>
      </c>
      <c r="H7" s="5">
        <v>0</v>
      </c>
      <c r="I7" s="25">
        <f t="shared" si="0"/>
        <v>0</v>
      </c>
    </row>
    <row r="8" spans="1:10" s="4" customFormat="1" ht="17.25" thickBot="1">
      <c r="A8" s="25" t="str">
        <f t="shared" si="1"/>
        <v>5.1</v>
      </c>
      <c r="B8" s="32" t="s">
        <v>631</v>
      </c>
      <c r="C8" s="32" t="str">
        <f t="shared" si="2"/>
        <v>5.10.30</v>
      </c>
      <c r="D8" s="32" t="s">
        <v>644</v>
      </c>
      <c r="E8" s="15" t="s">
        <v>647</v>
      </c>
      <c r="F8" s="16" t="s">
        <v>648</v>
      </c>
      <c r="G8" s="5">
        <v>0</v>
      </c>
      <c r="H8" s="5">
        <v>0</v>
      </c>
      <c r="I8" s="25">
        <f t="shared" si="0"/>
        <v>0</v>
      </c>
    </row>
    <row r="9" spans="1:10" s="4" customFormat="1" ht="17.25" thickBot="1">
      <c r="A9" s="25" t="str">
        <f t="shared" si="1"/>
        <v>5.1</v>
      </c>
      <c r="B9" s="32" t="s">
        <v>631</v>
      </c>
      <c r="C9" s="32" t="str">
        <f t="shared" si="2"/>
        <v>5.10.30</v>
      </c>
      <c r="D9" s="32" t="s">
        <v>649</v>
      </c>
      <c r="E9" s="36" t="s">
        <v>650</v>
      </c>
      <c r="F9" s="39" t="s">
        <v>651</v>
      </c>
      <c r="G9" s="5">
        <v>0</v>
      </c>
      <c r="H9" s="5">
        <v>0</v>
      </c>
      <c r="I9" s="109">
        <f t="shared" si="0"/>
        <v>0</v>
      </c>
    </row>
    <row r="10" spans="1:10" s="4" customFormat="1" ht="17.25" thickBot="1">
      <c r="A10" s="25" t="str">
        <f t="shared" si="1"/>
        <v>5.1</v>
      </c>
      <c r="B10" s="32" t="s">
        <v>631</v>
      </c>
      <c r="C10" s="32" t="str">
        <f t="shared" si="2"/>
        <v>5.10.30</v>
      </c>
      <c r="D10" s="32" t="s">
        <v>649</v>
      </c>
      <c r="E10" s="37" t="s">
        <v>652</v>
      </c>
      <c r="F10" s="50" t="s">
        <v>653</v>
      </c>
      <c r="G10" s="5">
        <v>0</v>
      </c>
      <c r="H10" s="5">
        <v>0</v>
      </c>
      <c r="I10" s="111">
        <f t="shared" si="0"/>
        <v>0</v>
      </c>
    </row>
    <row r="11" spans="1:10" s="4" customFormat="1" ht="17.25" thickBot="1">
      <c r="A11" s="25" t="str">
        <f t="shared" si="1"/>
        <v>5.1</v>
      </c>
      <c r="B11" s="32" t="s">
        <v>631</v>
      </c>
      <c r="C11" s="32" t="str">
        <f t="shared" si="2"/>
        <v>5.10.30</v>
      </c>
      <c r="D11" s="32" t="s">
        <v>644</v>
      </c>
      <c r="E11" s="17" t="s">
        <v>654</v>
      </c>
      <c r="F11" s="18" t="s">
        <v>655</v>
      </c>
      <c r="G11" s="5">
        <v>0</v>
      </c>
      <c r="H11" s="5">
        <v>0</v>
      </c>
      <c r="I11" s="26">
        <f t="shared" si="0"/>
        <v>0</v>
      </c>
    </row>
    <row r="12" spans="1:10" s="4" customFormat="1" ht="17.25" thickBot="1">
      <c r="A12" s="25" t="str">
        <f t="shared" si="1"/>
        <v>5.1</v>
      </c>
      <c r="B12" s="32" t="s">
        <v>631</v>
      </c>
      <c r="C12" s="32" t="str">
        <f t="shared" si="2"/>
        <v>5.10.40</v>
      </c>
      <c r="D12" s="32" t="s">
        <v>656</v>
      </c>
      <c r="E12" s="105" t="s">
        <v>657</v>
      </c>
      <c r="F12" s="142" t="s">
        <v>137</v>
      </c>
      <c r="G12" s="5">
        <v>0</v>
      </c>
      <c r="H12" s="5">
        <v>0</v>
      </c>
      <c r="I12" s="95">
        <f t="shared" si="0"/>
        <v>0</v>
      </c>
    </row>
    <row r="13" spans="1:10" s="4" customFormat="1" ht="17.25" thickBot="1">
      <c r="A13" s="25" t="str">
        <f t="shared" si="1"/>
        <v>5.1</v>
      </c>
      <c r="B13" s="32" t="s">
        <v>631</v>
      </c>
      <c r="C13" s="32" t="str">
        <f t="shared" si="2"/>
        <v>5.10.50</v>
      </c>
      <c r="D13" s="32" t="s">
        <v>658</v>
      </c>
      <c r="E13" s="105" t="s">
        <v>659</v>
      </c>
      <c r="F13" s="142" t="s">
        <v>660</v>
      </c>
      <c r="G13" s="144">
        <v>0</v>
      </c>
      <c r="H13" s="144">
        <f>+(240450138.02+1846281086.39)</f>
        <v>2086731224.4100001</v>
      </c>
      <c r="I13" s="95">
        <f t="shared" si="0"/>
        <v>2086731224.4100001</v>
      </c>
    </row>
    <row r="14" spans="1:10" s="4" customFormat="1" ht="17.25" thickBot="1">
      <c r="A14" s="25" t="str">
        <f t="shared" si="1"/>
        <v>5.1</v>
      </c>
      <c r="B14" s="32" t="s">
        <v>631</v>
      </c>
      <c r="C14" s="32" t="str">
        <f t="shared" si="2"/>
        <v>5.10.60</v>
      </c>
      <c r="D14" s="32" t="s">
        <v>661</v>
      </c>
      <c r="E14" s="105" t="s">
        <v>662</v>
      </c>
      <c r="F14" s="142" t="s">
        <v>663</v>
      </c>
      <c r="G14" s="144">
        <v>0</v>
      </c>
      <c r="H14" s="144">
        <v>0</v>
      </c>
      <c r="I14" s="95">
        <f t="shared" si="0"/>
        <v>0</v>
      </c>
    </row>
    <row r="15" spans="1:10" s="4" customFormat="1" ht="17.25" thickBot="1">
      <c r="A15" s="25" t="str">
        <f t="shared" si="1"/>
        <v>5.1</v>
      </c>
      <c r="B15" s="32" t="s">
        <v>631</v>
      </c>
      <c r="C15" s="32" t="str">
        <f t="shared" si="2"/>
        <v>5.10.70</v>
      </c>
      <c r="D15" s="32" t="s">
        <v>664</v>
      </c>
      <c r="E15" s="105" t="s">
        <v>665</v>
      </c>
      <c r="F15" s="142" t="s">
        <v>666</v>
      </c>
      <c r="G15" s="144">
        <v>0</v>
      </c>
      <c r="H15" s="144">
        <v>0</v>
      </c>
      <c r="I15" s="95">
        <f t="shared" si="0"/>
        <v>0</v>
      </c>
    </row>
    <row r="16" spans="1:10" s="4" customFormat="1" ht="17.25" thickBot="1">
      <c r="A16" s="25" t="str">
        <f t="shared" si="1"/>
        <v>5.1</v>
      </c>
      <c r="B16" s="145" t="s">
        <v>631</v>
      </c>
      <c r="C16" s="32" t="str">
        <f t="shared" si="2"/>
        <v>5.10.80</v>
      </c>
      <c r="D16" s="145" t="s">
        <v>667</v>
      </c>
      <c r="E16" s="105" t="s">
        <v>668</v>
      </c>
      <c r="F16" s="24" t="s">
        <v>669</v>
      </c>
      <c r="G16" s="144">
        <v>0</v>
      </c>
      <c r="H16" s="144">
        <v>0</v>
      </c>
      <c r="I16" s="58">
        <f t="shared" si="0"/>
        <v>0</v>
      </c>
    </row>
    <row r="18" spans="9:9">
      <c r="I18" s="2"/>
    </row>
  </sheetData>
  <sheetProtection selectLockedCells="1"/>
  <dataValidations count="2">
    <dataValidation type="custom" showInputMessage="1" showErrorMessage="1" errorTitle="ERRO!" error="Valor tem de ser um número maior ou igual a zero. " promptTitle="Valor em kwanzas" prompt="Insira um valor em kwanzas maior ou igual a zero!" sqref="G2:H12" xr:uid="{A46656A9-9B00-4946-AB8A-6625C9CFF2E0}">
      <formula1>AND(ISNUMBER(G2)=TRUE,G2&gt;=0)</formula1>
    </dataValidation>
    <dataValidation type="custom" showInputMessage="1" showErrorMessage="1" sqref="G1:H1" xr:uid="{D4DC2DA8-D395-49AA-958A-8476BECFC043}">
      <formula1>G:H&gt;0</formula1>
    </dataValidation>
  </dataValidations>
  <pageMargins left="0.25" right="0.25" top="0.75" bottom="0.75" header="0.3" footer="0.3"/>
  <pageSetup paperSize="9" scale="86"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CCC4E0-1967-4346-965D-4DAEA3ECE232}">
  <sheetPr>
    <pageSetUpPr fitToPage="1"/>
  </sheetPr>
  <dimension ref="A1:I112"/>
  <sheetViews>
    <sheetView zoomScale="76" workbookViewId="0">
      <pane ySplit="1" topLeftCell="A33" activePane="bottomLeft" state="frozen"/>
      <selection pane="bottomLeft" activeCell="F33" sqref="F33"/>
      <selection activeCell="C3" sqref="C3"/>
    </sheetView>
  </sheetViews>
  <sheetFormatPr defaultRowHeight="15"/>
  <cols>
    <col min="1" max="1" width="14.140625" customWidth="1"/>
    <col min="2" max="2" width="23.28515625" bestFit="1" customWidth="1"/>
    <col min="3" max="3" width="23.28515625" customWidth="1"/>
    <col min="4" max="4" width="59" customWidth="1"/>
    <col min="5" max="5" width="16.140625" customWidth="1"/>
    <col min="6" max="6" width="63.85546875" bestFit="1" customWidth="1"/>
    <col min="7" max="7" width="22.7109375" customWidth="1"/>
    <col min="8" max="8" width="26.85546875" customWidth="1"/>
    <col min="9" max="9" width="16" bestFit="1" customWidth="1"/>
  </cols>
  <sheetData>
    <row r="1" spans="1:9" s="4" customFormat="1" ht="33.75" thickBot="1">
      <c r="A1" s="87" t="s">
        <v>0</v>
      </c>
      <c r="B1" s="88" t="s">
        <v>1</v>
      </c>
      <c r="C1" s="88" t="s">
        <v>2</v>
      </c>
      <c r="D1" s="88" t="s">
        <v>3</v>
      </c>
      <c r="E1" s="89" t="s">
        <v>4</v>
      </c>
      <c r="F1" s="90" t="s">
        <v>5</v>
      </c>
      <c r="G1" s="3" t="s">
        <v>6</v>
      </c>
      <c r="H1" s="3" t="s">
        <v>7</v>
      </c>
      <c r="I1" s="3" t="s">
        <v>8</v>
      </c>
    </row>
    <row r="2" spans="1:9" s="4" customFormat="1" ht="16.5">
      <c r="A2" s="6" t="str">
        <f>+LEFT(E2,3)</f>
        <v>6.1</v>
      </c>
      <c r="B2" s="49" t="s">
        <v>670</v>
      </c>
      <c r="C2" s="49" t="str">
        <f>+LEFT(E2,7)</f>
        <v>6.10.10</v>
      </c>
      <c r="D2" s="49" t="s">
        <v>671</v>
      </c>
      <c r="E2" s="15" t="s">
        <v>672</v>
      </c>
      <c r="F2" s="16" t="s">
        <v>673</v>
      </c>
      <c r="G2" s="5">
        <v>0</v>
      </c>
      <c r="H2" s="5">
        <v>0</v>
      </c>
      <c r="I2" s="6">
        <f t="shared" ref="I2:I51" si="0">H2-G2</f>
        <v>0</v>
      </c>
    </row>
    <row r="3" spans="1:9" s="4" customFormat="1" ht="16.5">
      <c r="A3" s="6" t="str">
        <f t="shared" ref="A3:A38" si="1">+LEFT(E3,3)</f>
        <v>6.1</v>
      </c>
      <c r="B3" s="49" t="s">
        <v>670</v>
      </c>
      <c r="C3" s="49" t="str">
        <f t="shared" ref="C3:C38" si="2">+LEFT(E3,7)</f>
        <v>6.10.10</v>
      </c>
      <c r="D3" s="49" t="s">
        <v>671</v>
      </c>
      <c r="E3" s="15" t="s">
        <v>674</v>
      </c>
      <c r="F3" s="16" t="s">
        <v>21</v>
      </c>
      <c r="G3" s="5">
        <v>0</v>
      </c>
      <c r="H3" s="5">
        <v>0</v>
      </c>
      <c r="I3" s="6">
        <f t="shared" si="0"/>
        <v>0</v>
      </c>
    </row>
    <row r="4" spans="1:9" s="4" customFormat="1" ht="16.5">
      <c r="A4" s="6" t="str">
        <f t="shared" si="1"/>
        <v>6.1</v>
      </c>
      <c r="B4" s="49" t="s">
        <v>670</v>
      </c>
      <c r="C4" s="49" t="str">
        <f t="shared" si="2"/>
        <v>6.10.10</v>
      </c>
      <c r="D4" s="49" t="s">
        <v>671</v>
      </c>
      <c r="E4" s="15" t="s">
        <v>675</v>
      </c>
      <c r="F4" s="16" t="s">
        <v>27</v>
      </c>
      <c r="G4" s="5">
        <v>443371.53</v>
      </c>
      <c r="H4" s="5">
        <v>2135101.64</v>
      </c>
      <c r="I4" s="6">
        <f t="shared" si="0"/>
        <v>1691730.11</v>
      </c>
    </row>
    <row r="5" spans="1:9" s="4" customFormat="1" ht="16.5">
      <c r="A5" s="6" t="str">
        <f t="shared" si="1"/>
        <v>6.1</v>
      </c>
      <c r="B5" s="49" t="s">
        <v>670</v>
      </c>
      <c r="C5" s="49" t="str">
        <f t="shared" si="2"/>
        <v>6.10.10</v>
      </c>
      <c r="D5" s="49" t="s">
        <v>671</v>
      </c>
      <c r="E5" s="15" t="s">
        <v>676</v>
      </c>
      <c r="F5" s="16" t="s">
        <v>677</v>
      </c>
      <c r="G5" s="5">
        <v>269757613.00999999</v>
      </c>
      <c r="H5" s="5">
        <v>283731117.18000001</v>
      </c>
      <c r="I5" s="6">
        <f t="shared" si="0"/>
        <v>13973504.170000017</v>
      </c>
    </row>
    <row r="6" spans="1:9" s="4" customFormat="1" ht="16.5">
      <c r="A6" s="6" t="str">
        <f t="shared" si="1"/>
        <v>6.1</v>
      </c>
      <c r="B6" s="49" t="s">
        <v>670</v>
      </c>
      <c r="C6" s="49" t="str">
        <f t="shared" si="2"/>
        <v>6.10.10</v>
      </c>
      <c r="D6" s="49" t="s">
        <v>678</v>
      </c>
      <c r="E6" s="36" t="s">
        <v>679</v>
      </c>
      <c r="F6" s="39" t="s">
        <v>35</v>
      </c>
      <c r="G6" s="5">
        <v>1206194568.49</v>
      </c>
      <c r="H6" s="5">
        <v>1453604683.9400001</v>
      </c>
      <c r="I6" s="42">
        <f t="shared" si="0"/>
        <v>247410115.45000005</v>
      </c>
    </row>
    <row r="7" spans="1:9" s="4" customFormat="1" ht="16.5">
      <c r="A7" s="6" t="str">
        <f t="shared" si="1"/>
        <v>6.1</v>
      </c>
      <c r="B7" s="49" t="s">
        <v>670</v>
      </c>
      <c r="C7" s="49" t="str">
        <f t="shared" si="2"/>
        <v>6.10.10</v>
      </c>
      <c r="D7" s="49" t="s">
        <v>678</v>
      </c>
      <c r="E7" s="36" t="s">
        <v>680</v>
      </c>
      <c r="F7" s="39" t="s">
        <v>681</v>
      </c>
      <c r="G7" s="5">
        <v>0</v>
      </c>
      <c r="H7" s="5">
        <v>0</v>
      </c>
      <c r="I7" s="42">
        <f t="shared" si="0"/>
        <v>0</v>
      </c>
    </row>
    <row r="8" spans="1:9" s="4" customFormat="1" ht="16.5">
      <c r="A8" s="6" t="str">
        <f t="shared" si="1"/>
        <v>6.1</v>
      </c>
      <c r="B8" s="49" t="s">
        <v>670</v>
      </c>
      <c r="C8" s="49" t="str">
        <f t="shared" si="2"/>
        <v>6.10.10</v>
      </c>
      <c r="D8" s="49" t="s">
        <v>678</v>
      </c>
      <c r="E8" s="36" t="s">
        <v>682</v>
      </c>
      <c r="F8" s="39" t="s">
        <v>72</v>
      </c>
      <c r="G8" s="5">
        <v>0</v>
      </c>
      <c r="H8" s="5">
        <v>0</v>
      </c>
      <c r="I8" s="42">
        <f t="shared" si="0"/>
        <v>0</v>
      </c>
    </row>
    <row r="9" spans="1:9" s="4" customFormat="1" ht="16.5">
      <c r="A9" s="6" t="str">
        <f t="shared" si="1"/>
        <v>6.1</v>
      </c>
      <c r="B9" s="49" t="s">
        <v>670</v>
      </c>
      <c r="C9" s="49" t="str">
        <f t="shared" si="2"/>
        <v>6.10.10</v>
      </c>
      <c r="D9" s="49" t="s">
        <v>678</v>
      </c>
      <c r="E9" s="36" t="s">
        <v>683</v>
      </c>
      <c r="F9" s="39" t="s">
        <v>684</v>
      </c>
      <c r="G9" s="5">
        <v>0</v>
      </c>
      <c r="H9" s="5">
        <v>0</v>
      </c>
      <c r="I9" s="42">
        <f t="shared" si="0"/>
        <v>0</v>
      </c>
    </row>
    <row r="10" spans="1:9" s="4" customFormat="1" ht="16.5">
      <c r="A10" s="6" t="str">
        <f t="shared" si="1"/>
        <v>6.1</v>
      </c>
      <c r="B10" s="49" t="s">
        <v>670</v>
      </c>
      <c r="C10" s="49" t="str">
        <f t="shared" si="2"/>
        <v>6.10.10</v>
      </c>
      <c r="D10" s="49" t="s">
        <v>678</v>
      </c>
      <c r="E10" s="36" t="s">
        <v>685</v>
      </c>
      <c r="F10" s="39" t="s">
        <v>686</v>
      </c>
      <c r="G10" s="5">
        <v>0</v>
      </c>
      <c r="H10" s="5">
        <v>0</v>
      </c>
      <c r="I10" s="42">
        <f t="shared" si="0"/>
        <v>0</v>
      </c>
    </row>
    <row r="11" spans="1:9" s="4" customFormat="1" ht="16.5">
      <c r="A11" s="6" t="str">
        <f t="shared" si="1"/>
        <v>6.1</v>
      </c>
      <c r="B11" s="49" t="s">
        <v>670</v>
      </c>
      <c r="C11" s="49" t="str">
        <f t="shared" si="2"/>
        <v>6.10.10</v>
      </c>
      <c r="D11" s="49" t="s">
        <v>678</v>
      </c>
      <c r="E11" s="36" t="s">
        <v>687</v>
      </c>
      <c r="F11" s="39" t="s">
        <v>688</v>
      </c>
      <c r="G11" s="5">
        <v>0</v>
      </c>
      <c r="H11" s="5">
        <v>0</v>
      </c>
      <c r="I11" s="42">
        <f t="shared" si="0"/>
        <v>0</v>
      </c>
    </row>
    <row r="12" spans="1:9" s="4" customFormat="1" ht="16.5">
      <c r="A12" s="6" t="str">
        <f t="shared" si="1"/>
        <v>6.1</v>
      </c>
      <c r="B12" s="49" t="s">
        <v>670</v>
      </c>
      <c r="C12" s="49" t="str">
        <f t="shared" si="2"/>
        <v>6.10.10</v>
      </c>
      <c r="D12" s="49" t="s">
        <v>678</v>
      </c>
      <c r="E12" s="36" t="s">
        <v>689</v>
      </c>
      <c r="F12" s="39" t="s">
        <v>690</v>
      </c>
      <c r="G12" s="5">
        <v>0</v>
      </c>
      <c r="H12" s="5">
        <v>0</v>
      </c>
      <c r="I12" s="42">
        <f t="shared" si="0"/>
        <v>0</v>
      </c>
    </row>
    <row r="13" spans="1:9" s="4" customFormat="1" ht="16.5">
      <c r="A13" s="6" t="str">
        <f t="shared" si="1"/>
        <v>6.1</v>
      </c>
      <c r="B13" s="49" t="s">
        <v>670</v>
      </c>
      <c r="C13" s="49" t="str">
        <f t="shared" si="2"/>
        <v>6.10.10</v>
      </c>
      <c r="D13" s="49" t="s">
        <v>678</v>
      </c>
      <c r="E13" s="36" t="s">
        <v>691</v>
      </c>
      <c r="F13" s="39" t="s">
        <v>692</v>
      </c>
      <c r="G13" s="5">
        <v>0</v>
      </c>
      <c r="H13" s="5">
        <v>0</v>
      </c>
      <c r="I13" s="42">
        <f t="shared" si="0"/>
        <v>0</v>
      </c>
    </row>
    <row r="14" spans="1:9" s="4" customFormat="1" ht="16.5">
      <c r="A14" s="6" t="str">
        <f t="shared" si="1"/>
        <v>6.1</v>
      </c>
      <c r="B14" s="49" t="s">
        <v>670</v>
      </c>
      <c r="C14" s="49" t="str">
        <f t="shared" si="2"/>
        <v>6.10.10</v>
      </c>
      <c r="D14" s="49" t="s">
        <v>678</v>
      </c>
      <c r="E14" s="73" t="s">
        <v>693</v>
      </c>
      <c r="F14" s="74" t="s">
        <v>694</v>
      </c>
      <c r="G14" s="64">
        <v>0</v>
      </c>
      <c r="H14" s="64">
        <v>0</v>
      </c>
      <c r="I14" s="65">
        <f t="shared" si="0"/>
        <v>0</v>
      </c>
    </row>
    <row r="15" spans="1:9" s="4" customFormat="1" ht="16.5">
      <c r="A15" s="6" t="str">
        <f t="shared" si="1"/>
        <v>6.1</v>
      </c>
      <c r="B15" s="49" t="s">
        <v>670</v>
      </c>
      <c r="C15" s="49" t="str">
        <f t="shared" si="2"/>
        <v>6.10.10</v>
      </c>
      <c r="D15" s="49" t="s">
        <v>695</v>
      </c>
      <c r="E15" s="36" t="s">
        <v>696</v>
      </c>
      <c r="F15" s="39" t="s">
        <v>209</v>
      </c>
      <c r="G15" s="5">
        <v>0</v>
      </c>
      <c r="H15" s="5">
        <v>0</v>
      </c>
      <c r="I15" s="42">
        <f t="shared" si="0"/>
        <v>0</v>
      </c>
    </row>
    <row r="16" spans="1:9" s="4" customFormat="1" ht="16.5">
      <c r="A16" s="6" t="str">
        <f t="shared" si="1"/>
        <v>6.1</v>
      </c>
      <c r="B16" s="49" t="s">
        <v>670</v>
      </c>
      <c r="C16" s="49" t="str">
        <f t="shared" si="2"/>
        <v>6.10.10</v>
      </c>
      <c r="D16" s="49" t="s">
        <v>695</v>
      </c>
      <c r="E16" s="36" t="s">
        <v>697</v>
      </c>
      <c r="F16" s="39" t="s">
        <v>698</v>
      </c>
      <c r="G16" s="5">
        <v>0</v>
      </c>
      <c r="H16" s="5">
        <v>0</v>
      </c>
      <c r="I16" s="42">
        <f t="shared" si="0"/>
        <v>0</v>
      </c>
    </row>
    <row r="17" spans="1:9" s="4" customFormat="1" ht="16.5">
      <c r="A17" s="6" t="str">
        <f t="shared" si="1"/>
        <v>6.1</v>
      </c>
      <c r="B17" s="49" t="s">
        <v>670</v>
      </c>
      <c r="C17" s="49" t="str">
        <f t="shared" si="2"/>
        <v>6.10.10</v>
      </c>
      <c r="D17" s="49" t="s">
        <v>695</v>
      </c>
      <c r="E17" s="36" t="s">
        <v>699</v>
      </c>
      <c r="F17" s="39" t="s">
        <v>700</v>
      </c>
      <c r="G17" s="5">
        <v>0</v>
      </c>
      <c r="H17" s="5">
        <v>0</v>
      </c>
      <c r="I17" s="42">
        <f t="shared" si="0"/>
        <v>0</v>
      </c>
    </row>
    <row r="18" spans="1:9" s="4" customFormat="1" ht="16.5">
      <c r="A18" s="6" t="str">
        <f t="shared" si="1"/>
        <v>6.1</v>
      </c>
      <c r="B18" s="49" t="s">
        <v>670</v>
      </c>
      <c r="C18" s="49" t="str">
        <f t="shared" si="2"/>
        <v>6.10.10</v>
      </c>
      <c r="D18" s="49" t="s">
        <v>695</v>
      </c>
      <c r="E18" s="36" t="s">
        <v>701</v>
      </c>
      <c r="F18" s="39" t="s">
        <v>702</v>
      </c>
      <c r="G18" s="5">
        <v>0</v>
      </c>
      <c r="H18" s="5">
        <v>0</v>
      </c>
      <c r="I18" s="42">
        <f t="shared" si="0"/>
        <v>0</v>
      </c>
    </row>
    <row r="19" spans="1:9" s="4" customFormat="1" ht="16.5">
      <c r="A19" s="6" t="str">
        <f t="shared" si="1"/>
        <v>6.1</v>
      </c>
      <c r="B19" s="49" t="s">
        <v>670</v>
      </c>
      <c r="C19" s="49" t="str">
        <f t="shared" si="2"/>
        <v>6.10.10</v>
      </c>
      <c r="D19" s="49" t="s">
        <v>695</v>
      </c>
      <c r="E19" s="36" t="s">
        <v>703</v>
      </c>
      <c r="F19" s="39" t="s">
        <v>704</v>
      </c>
      <c r="G19" s="5">
        <v>0</v>
      </c>
      <c r="H19" s="5">
        <v>0</v>
      </c>
      <c r="I19" s="42">
        <f t="shared" si="0"/>
        <v>0</v>
      </c>
    </row>
    <row r="20" spans="1:9" s="4" customFormat="1" ht="16.5">
      <c r="A20" s="6" t="str">
        <f t="shared" si="1"/>
        <v>6.1</v>
      </c>
      <c r="B20" s="49" t="s">
        <v>670</v>
      </c>
      <c r="C20" s="49" t="str">
        <f t="shared" si="2"/>
        <v>6.10.10</v>
      </c>
      <c r="D20" s="49" t="s">
        <v>695</v>
      </c>
      <c r="E20" s="73" t="s">
        <v>705</v>
      </c>
      <c r="F20" s="74" t="s">
        <v>217</v>
      </c>
      <c r="G20" s="64">
        <v>0</v>
      </c>
      <c r="H20" s="64">
        <v>0</v>
      </c>
      <c r="I20" s="65">
        <f t="shared" si="0"/>
        <v>0</v>
      </c>
    </row>
    <row r="21" spans="1:9" s="4" customFormat="1" ht="16.5">
      <c r="A21" s="6" t="str">
        <f t="shared" si="1"/>
        <v>6.1</v>
      </c>
      <c r="B21" s="49" t="s">
        <v>670</v>
      </c>
      <c r="C21" s="49" t="str">
        <f t="shared" si="2"/>
        <v>6.10.10</v>
      </c>
      <c r="D21" s="49" t="s">
        <v>706</v>
      </c>
      <c r="E21" s="36" t="s">
        <v>707</v>
      </c>
      <c r="F21" s="39" t="s">
        <v>123</v>
      </c>
      <c r="G21" s="5">
        <v>29984166</v>
      </c>
      <c r="H21" s="5">
        <v>31795308.469999999</v>
      </c>
      <c r="I21" s="42">
        <f t="shared" si="0"/>
        <v>1811142.4699999988</v>
      </c>
    </row>
    <row r="22" spans="1:9" s="4" customFormat="1" ht="15.4" customHeight="1">
      <c r="A22" s="6" t="str">
        <f t="shared" si="1"/>
        <v>6.1</v>
      </c>
      <c r="B22" s="49" t="s">
        <v>670</v>
      </c>
      <c r="C22" s="49" t="str">
        <f t="shared" si="2"/>
        <v>6.10.10</v>
      </c>
      <c r="D22" s="49" t="s">
        <v>708</v>
      </c>
      <c r="E22" s="75" t="s">
        <v>709</v>
      </c>
      <c r="F22" s="40" t="s">
        <v>710</v>
      </c>
      <c r="G22" s="5">
        <v>0</v>
      </c>
      <c r="H22" s="5">
        <v>0</v>
      </c>
      <c r="I22" s="66">
        <f t="shared" si="0"/>
        <v>0</v>
      </c>
    </row>
    <row r="23" spans="1:9" s="4" customFormat="1" ht="16.5" customHeight="1">
      <c r="A23" s="6" t="str">
        <f t="shared" si="1"/>
        <v>6.1</v>
      </c>
      <c r="B23" s="49" t="s">
        <v>670</v>
      </c>
      <c r="C23" s="49" t="str">
        <f t="shared" si="2"/>
        <v>6.10.10</v>
      </c>
      <c r="D23" s="49" t="s">
        <v>708</v>
      </c>
      <c r="E23" s="76" t="s">
        <v>711</v>
      </c>
      <c r="F23" s="77" t="s">
        <v>712</v>
      </c>
      <c r="G23" s="67">
        <v>0</v>
      </c>
      <c r="H23" s="67">
        <v>0</v>
      </c>
      <c r="I23" s="68">
        <f t="shared" si="0"/>
        <v>0</v>
      </c>
    </row>
    <row r="24" spans="1:9" s="4" customFormat="1" ht="16.5">
      <c r="A24" s="6" t="str">
        <f t="shared" si="1"/>
        <v>6.1</v>
      </c>
      <c r="B24" s="49" t="s">
        <v>670</v>
      </c>
      <c r="C24" s="49" t="str">
        <f t="shared" si="2"/>
        <v>6.10.10</v>
      </c>
      <c r="D24" s="49" t="s">
        <v>708</v>
      </c>
      <c r="E24" s="73" t="s">
        <v>713</v>
      </c>
      <c r="F24" s="74" t="s">
        <v>358</v>
      </c>
      <c r="G24" s="64">
        <v>0</v>
      </c>
      <c r="H24" s="64">
        <v>0</v>
      </c>
      <c r="I24" s="65">
        <f>H24-G24</f>
        <v>0</v>
      </c>
    </row>
    <row r="25" spans="1:9" s="4" customFormat="1" ht="16.5">
      <c r="A25" s="6" t="str">
        <f t="shared" si="1"/>
        <v>6.1</v>
      </c>
      <c r="B25" s="49" t="s">
        <v>670</v>
      </c>
      <c r="C25" s="49" t="str">
        <f t="shared" si="2"/>
        <v>6.10.10</v>
      </c>
      <c r="D25" s="49" t="s">
        <v>708</v>
      </c>
      <c r="E25" s="15" t="s">
        <v>714</v>
      </c>
      <c r="F25" s="16" t="s">
        <v>715</v>
      </c>
      <c r="G25" s="5">
        <v>0</v>
      </c>
      <c r="H25" s="5">
        <v>0</v>
      </c>
      <c r="I25" s="6">
        <f t="shared" si="0"/>
        <v>0</v>
      </c>
    </row>
    <row r="26" spans="1:9" s="4" customFormat="1" ht="16.5">
      <c r="A26" s="6" t="str">
        <f t="shared" si="1"/>
        <v>6.1</v>
      </c>
      <c r="B26" s="49" t="s">
        <v>670</v>
      </c>
      <c r="C26" s="49" t="str">
        <f t="shared" si="2"/>
        <v>6.10.10</v>
      </c>
      <c r="D26" s="49" t="s">
        <v>716</v>
      </c>
      <c r="E26" s="36" t="s">
        <v>717</v>
      </c>
      <c r="F26" s="39" t="s">
        <v>718</v>
      </c>
      <c r="G26" s="5">
        <v>0</v>
      </c>
      <c r="H26" s="5">
        <v>0</v>
      </c>
      <c r="I26" s="42">
        <f t="shared" si="0"/>
        <v>0</v>
      </c>
    </row>
    <row r="27" spans="1:9" s="4" customFormat="1" ht="16.5">
      <c r="A27" s="6" t="str">
        <f t="shared" si="1"/>
        <v>6.1</v>
      </c>
      <c r="B27" s="49" t="s">
        <v>670</v>
      </c>
      <c r="C27" s="49" t="str">
        <f t="shared" si="2"/>
        <v>6.10.10</v>
      </c>
      <c r="D27" s="49" t="s">
        <v>716</v>
      </c>
      <c r="E27" s="36" t="s">
        <v>719</v>
      </c>
      <c r="F27" s="39" t="s">
        <v>720</v>
      </c>
      <c r="G27" s="5">
        <v>0</v>
      </c>
      <c r="H27" s="5">
        <v>0</v>
      </c>
      <c r="I27" s="42">
        <f t="shared" si="0"/>
        <v>0</v>
      </c>
    </row>
    <row r="28" spans="1:9" s="4" customFormat="1" ht="16.5">
      <c r="A28" s="6" t="str">
        <f t="shared" si="1"/>
        <v>6.1</v>
      </c>
      <c r="B28" s="49" t="s">
        <v>670</v>
      </c>
      <c r="C28" s="49" t="str">
        <f t="shared" si="2"/>
        <v>6.10.10</v>
      </c>
      <c r="D28" s="49" t="s">
        <v>716</v>
      </c>
      <c r="E28" s="37" t="s">
        <v>721</v>
      </c>
      <c r="F28" s="50" t="s">
        <v>722</v>
      </c>
      <c r="G28" s="29">
        <v>0</v>
      </c>
      <c r="H28" s="29">
        <v>639372879.36000001</v>
      </c>
      <c r="I28" s="43">
        <f t="shared" si="0"/>
        <v>639372879.36000001</v>
      </c>
    </row>
    <row r="29" spans="1:9" s="4" customFormat="1" ht="16.5">
      <c r="A29" s="6" t="str">
        <f t="shared" si="1"/>
        <v>6.1</v>
      </c>
      <c r="B29" s="49" t="s">
        <v>670</v>
      </c>
      <c r="C29" s="49" t="str">
        <f t="shared" si="2"/>
        <v>6.10.10</v>
      </c>
      <c r="D29" s="49" t="s">
        <v>671</v>
      </c>
      <c r="E29" s="17" t="s">
        <v>723</v>
      </c>
      <c r="F29" s="18" t="s">
        <v>724</v>
      </c>
      <c r="G29" s="26">
        <v>0</v>
      </c>
      <c r="H29" s="26">
        <v>0</v>
      </c>
      <c r="I29" s="8">
        <f t="shared" si="0"/>
        <v>0</v>
      </c>
    </row>
    <row r="30" spans="1:9" s="4" customFormat="1" ht="16.5">
      <c r="A30" s="6" t="str">
        <f t="shared" si="1"/>
        <v>6.1</v>
      </c>
      <c r="B30" s="49" t="s">
        <v>670</v>
      </c>
      <c r="C30" s="49" t="str">
        <f t="shared" si="2"/>
        <v>6.10.20</v>
      </c>
      <c r="D30" s="49" t="s">
        <v>725</v>
      </c>
      <c r="E30" s="17" t="s">
        <v>726</v>
      </c>
      <c r="F30" s="18" t="s">
        <v>727</v>
      </c>
      <c r="G30" s="7">
        <v>0</v>
      </c>
      <c r="H30" s="7">
        <v>0</v>
      </c>
      <c r="I30" s="8">
        <f t="shared" si="0"/>
        <v>0</v>
      </c>
    </row>
    <row r="31" spans="1:9" s="4" customFormat="1" ht="16.5">
      <c r="A31" s="6" t="str">
        <f t="shared" si="1"/>
        <v>6.1</v>
      </c>
      <c r="B31" s="49" t="s">
        <v>670</v>
      </c>
      <c r="C31" s="49" t="str">
        <f t="shared" si="2"/>
        <v>6.10.30</v>
      </c>
      <c r="D31" s="49" t="s">
        <v>728</v>
      </c>
      <c r="E31" s="15" t="s">
        <v>729</v>
      </c>
      <c r="F31" s="16" t="s">
        <v>730</v>
      </c>
      <c r="G31" s="5">
        <v>154505044.16</v>
      </c>
      <c r="H31" s="5">
        <v>155515491.19</v>
      </c>
      <c r="I31" s="6">
        <f t="shared" si="0"/>
        <v>1010447.0300000012</v>
      </c>
    </row>
    <row r="32" spans="1:9" s="4" customFormat="1" ht="16.5">
      <c r="A32" s="6" t="str">
        <f t="shared" si="1"/>
        <v>6.1</v>
      </c>
      <c r="B32" s="49" t="s">
        <v>670</v>
      </c>
      <c r="C32" s="49" t="str">
        <f t="shared" si="2"/>
        <v>6.10.30</v>
      </c>
      <c r="D32" s="49" t="s">
        <v>728</v>
      </c>
      <c r="E32" s="17" t="s">
        <v>731</v>
      </c>
      <c r="F32" s="18" t="s">
        <v>732</v>
      </c>
      <c r="G32" s="7">
        <v>0</v>
      </c>
      <c r="H32" s="7">
        <v>0</v>
      </c>
      <c r="I32" s="8">
        <f t="shared" si="0"/>
        <v>0</v>
      </c>
    </row>
    <row r="33" spans="1:9" s="4" customFormat="1" ht="16.5">
      <c r="A33" s="6" t="str">
        <f t="shared" si="1"/>
        <v>6.1</v>
      </c>
      <c r="B33" s="49" t="s">
        <v>670</v>
      </c>
      <c r="C33" s="49" t="str">
        <f t="shared" si="2"/>
        <v>6.10.40</v>
      </c>
      <c r="D33" s="49" t="s">
        <v>733</v>
      </c>
      <c r="E33" s="15" t="s">
        <v>734</v>
      </c>
      <c r="F33" s="16" t="s">
        <v>735</v>
      </c>
      <c r="G33" s="5">
        <v>0</v>
      </c>
      <c r="H33" s="5">
        <v>0</v>
      </c>
      <c r="I33" s="6">
        <f t="shared" si="0"/>
        <v>0</v>
      </c>
    </row>
    <row r="34" spans="1:9" s="4" customFormat="1" ht="16.5">
      <c r="A34" s="6" t="str">
        <f t="shared" si="1"/>
        <v>6.1</v>
      </c>
      <c r="B34" s="49" t="s">
        <v>670</v>
      </c>
      <c r="C34" s="49" t="str">
        <f t="shared" si="2"/>
        <v>6.10.40</v>
      </c>
      <c r="D34" s="49" t="s">
        <v>733</v>
      </c>
      <c r="E34" s="17" t="s">
        <v>736</v>
      </c>
      <c r="F34" s="18" t="s">
        <v>737</v>
      </c>
      <c r="G34" s="7">
        <v>0</v>
      </c>
      <c r="H34" s="7">
        <v>0</v>
      </c>
      <c r="I34" s="8">
        <f t="shared" si="0"/>
        <v>0</v>
      </c>
    </row>
    <row r="35" spans="1:9" s="4" customFormat="1" ht="16.5">
      <c r="A35" s="6" t="str">
        <f t="shared" si="1"/>
        <v>6.1</v>
      </c>
      <c r="B35" s="49" t="s">
        <v>670</v>
      </c>
      <c r="C35" s="49" t="str">
        <f t="shared" si="2"/>
        <v>6.10.50</v>
      </c>
      <c r="D35" s="49" t="s">
        <v>738</v>
      </c>
      <c r="E35" s="15" t="s">
        <v>739</v>
      </c>
      <c r="F35" s="16" t="s">
        <v>740</v>
      </c>
      <c r="G35" s="5">
        <v>0</v>
      </c>
      <c r="H35" s="5">
        <v>0</v>
      </c>
      <c r="I35" s="6">
        <f t="shared" si="0"/>
        <v>0</v>
      </c>
    </row>
    <row r="36" spans="1:9" s="4" customFormat="1" ht="16.5">
      <c r="A36" s="6" t="str">
        <f t="shared" si="1"/>
        <v>6.1</v>
      </c>
      <c r="B36" s="49" t="s">
        <v>670</v>
      </c>
      <c r="C36" s="49" t="str">
        <f t="shared" si="2"/>
        <v>6.10.50</v>
      </c>
      <c r="D36" s="49" t="s">
        <v>738</v>
      </c>
      <c r="E36" s="17" t="s">
        <v>741</v>
      </c>
      <c r="F36" s="18" t="s">
        <v>742</v>
      </c>
      <c r="G36" s="7">
        <v>0</v>
      </c>
      <c r="H36" s="7">
        <v>0</v>
      </c>
      <c r="I36" s="8">
        <f t="shared" si="0"/>
        <v>0</v>
      </c>
    </row>
    <row r="37" spans="1:9" s="4" customFormat="1" ht="16.5">
      <c r="A37" s="6" t="str">
        <f t="shared" si="1"/>
        <v>6.1</v>
      </c>
      <c r="B37" s="49" t="s">
        <v>670</v>
      </c>
      <c r="C37" s="49" t="str">
        <f t="shared" si="2"/>
        <v>6.10.60</v>
      </c>
      <c r="D37" s="49" t="s">
        <v>743</v>
      </c>
      <c r="E37" s="15" t="s">
        <v>744</v>
      </c>
      <c r="F37" s="16" t="s">
        <v>745</v>
      </c>
      <c r="G37" s="5">
        <v>0</v>
      </c>
      <c r="H37" s="5">
        <v>68277659.209999993</v>
      </c>
      <c r="I37" s="6">
        <f t="shared" si="0"/>
        <v>68277659.209999993</v>
      </c>
    </row>
    <row r="38" spans="1:9" s="4" customFormat="1" ht="16.5">
      <c r="A38" s="6" t="str">
        <f t="shared" si="1"/>
        <v>6.1</v>
      </c>
      <c r="B38" s="49" t="s">
        <v>670</v>
      </c>
      <c r="C38" s="49" t="str">
        <f t="shared" si="2"/>
        <v>6.10.60</v>
      </c>
      <c r="D38" s="49" t="s">
        <v>743</v>
      </c>
      <c r="E38" s="15" t="s">
        <v>746</v>
      </c>
      <c r="F38" s="16" t="s">
        <v>747</v>
      </c>
      <c r="G38" s="5">
        <v>0</v>
      </c>
      <c r="H38" s="5">
        <v>0</v>
      </c>
      <c r="I38" s="6">
        <f t="shared" si="0"/>
        <v>0</v>
      </c>
    </row>
    <row r="39" spans="1:9" s="4" customFormat="1" ht="16.5">
      <c r="A39" s="6" t="str">
        <f t="shared" ref="A39:A53" si="3">+LEFT(E39,3)</f>
        <v>6.1</v>
      </c>
      <c r="B39" s="49" t="s">
        <v>670</v>
      </c>
      <c r="C39" s="49" t="str">
        <f t="shared" ref="C39:C53" si="4">+LEFT(E39,7)</f>
        <v>6.10.70</v>
      </c>
      <c r="D39" s="49" t="s">
        <v>748</v>
      </c>
      <c r="E39" s="36" t="s">
        <v>749</v>
      </c>
      <c r="F39" s="39" t="s">
        <v>362</v>
      </c>
      <c r="G39" s="5">
        <v>0</v>
      </c>
      <c r="H39" s="5">
        <v>0</v>
      </c>
      <c r="I39" s="42">
        <f t="shared" si="0"/>
        <v>0</v>
      </c>
    </row>
    <row r="40" spans="1:9" s="4" customFormat="1" ht="16.5">
      <c r="A40" s="6" t="str">
        <f t="shared" si="3"/>
        <v>6.1</v>
      </c>
      <c r="B40" s="49" t="s">
        <v>670</v>
      </c>
      <c r="C40" s="49" t="str">
        <f t="shared" si="4"/>
        <v>6.10.70</v>
      </c>
      <c r="D40" s="49" t="s">
        <v>748</v>
      </c>
      <c r="E40" s="36" t="s">
        <v>750</v>
      </c>
      <c r="F40" s="39" t="s">
        <v>751</v>
      </c>
      <c r="G40" s="5">
        <v>0</v>
      </c>
      <c r="H40" s="5">
        <v>0</v>
      </c>
      <c r="I40" s="42">
        <f t="shared" si="0"/>
        <v>0</v>
      </c>
    </row>
    <row r="41" spans="1:9" s="4" customFormat="1" ht="16.5">
      <c r="A41" s="6" t="str">
        <f t="shared" si="3"/>
        <v>6.1</v>
      </c>
      <c r="B41" s="49" t="s">
        <v>670</v>
      </c>
      <c r="C41" s="49" t="str">
        <f t="shared" si="4"/>
        <v>6.10.70</v>
      </c>
      <c r="D41" s="49" t="s">
        <v>748</v>
      </c>
      <c r="E41" s="36" t="s">
        <v>752</v>
      </c>
      <c r="F41" s="39" t="s">
        <v>753</v>
      </c>
      <c r="G41" s="5">
        <v>0</v>
      </c>
      <c r="H41" s="5">
        <v>0</v>
      </c>
      <c r="I41" s="42">
        <f t="shared" si="0"/>
        <v>0</v>
      </c>
    </row>
    <row r="42" spans="1:9" s="4" customFormat="1" ht="16.5">
      <c r="A42" s="6" t="str">
        <f t="shared" si="3"/>
        <v>6.1</v>
      </c>
      <c r="B42" s="49" t="s">
        <v>670</v>
      </c>
      <c r="C42" s="49" t="str">
        <f t="shared" si="4"/>
        <v>6.10.70</v>
      </c>
      <c r="D42" s="49" t="s">
        <v>748</v>
      </c>
      <c r="E42" s="73" t="s">
        <v>754</v>
      </c>
      <c r="F42" s="74" t="s">
        <v>358</v>
      </c>
      <c r="G42" s="64">
        <v>0</v>
      </c>
      <c r="H42" s="64">
        <v>0</v>
      </c>
      <c r="I42" s="65">
        <f t="shared" si="0"/>
        <v>0</v>
      </c>
    </row>
    <row r="43" spans="1:9" s="4" customFormat="1" ht="16.5">
      <c r="A43" s="6" t="str">
        <f t="shared" si="3"/>
        <v>6.1</v>
      </c>
      <c r="B43" s="49" t="s">
        <v>670</v>
      </c>
      <c r="C43" s="49" t="str">
        <f t="shared" si="4"/>
        <v>6.10.70</v>
      </c>
      <c r="D43" s="49" t="s">
        <v>755</v>
      </c>
      <c r="E43" s="15" t="s">
        <v>756</v>
      </c>
      <c r="F43" s="16" t="s">
        <v>757</v>
      </c>
      <c r="G43" s="5">
        <v>0</v>
      </c>
      <c r="H43" s="5">
        <v>0</v>
      </c>
      <c r="I43" s="6">
        <f t="shared" si="0"/>
        <v>0</v>
      </c>
    </row>
    <row r="44" spans="1:9" s="4" customFormat="1" ht="16.5">
      <c r="A44" s="6" t="str">
        <f t="shared" si="3"/>
        <v>6.1</v>
      </c>
      <c r="B44" s="49" t="s">
        <v>670</v>
      </c>
      <c r="C44" s="49" t="str">
        <f t="shared" si="4"/>
        <v>6.10.70</v>
      </c>
      <c r="D44" s="49" t="s">
        <v>758</v>
      </c>
      <c r="E44" s="36" t="s">
        <v>759</v>
      </c>
      <c r="F44" s="39" t="s">
        <v>760</v>
      </c>
      <c r="G44" s="5">
        <v>0</v>
      </c>
      <c r="H44" s="5">
        <v>0</v>
      </c>
      <c r="I44" s="42">
        <f t="shared" si="0"/>
        <v>0</v>
      </c>
    </row>
    <row r="45" spans="1:9" s="4" customFormat="1" ht="16.5">
      <c r="A45" s="6" t="str">
        <f t="shared" si="3"/>
        <v>6.1</v>
      </c>
      <c r="B45" s="49" t="s">
        <v>670</v>
      </c>
      <c r="C45" s="49" t="str">
        <f t="shared" si="4"/>
        <v>6.10.70</v>
      </c>
      <c r="D45" s="49" t="s">
        <v>758</v>
      </c>
      <c r="E45" s="38" t="s">
        <v>761</v>
      </c>
      <c r="F45" s="56" t="s">
        <v>762</v>
      </c>
      <c r="G45" s="7">
        <v>0</v>
      </c>
      <c r="H45" s="7">
        <v>0</v>
      </c>
      <c r="I45" s="44">
        <f t="shared" si="0"/>
        <v>0</v>
      </c>
    </row>
    <row r="46" spans="1:9" s="4" customFormat="1" ht="16.5">
      <c r="A46" s="6" t="str">
        <f t="shared" si="3"/>
        <v>6.1</v>
      </c>
      <c r="B46" s="49" t="s">
        <v>670</v>
      </c>
      <c r="C46" s="49" t="str">
        <f t="shared" si="4"/>
        <v>6.10.80</v>
      </c>
      <c r="D46" s="49" t="s">
        <v>763</v>
      </c>
      <c r="E46" s="15" t="s">
        <v>764</v>
      </c>
      <c r="F46" s="16" t="s">
        <v>765</v>
      </c>
      <c r="G46" s="5">
        <v>0</v>
      </c>
      <c r="H46" s="5">
        <v>80625000</v>
      </c>
      <c r="I46" s="6">
        <f t="shared" si="0"/>
        <v>80625000</v>
      </c>
    </row>
    <row r="47" spans="1:9" s="4" customFormat="1" ht="16.5">
      <c r="A47" s="6" t="str">
        <f t="shared" si="3"/>
        <v>6.1</v>
      </c>
      <c r="B47" s="49" t="s">
        <v>670</v>
      </c>
      <c r="C47" s="49" t="str">
        <f t="shared" si="4"/>
        <v>6.10.80</v>
      </c>
      <c r="D47" s="49" t="s">
        <v>763</v>
      </c>
      <c r="E47" s="17" t="s">
        <v>766</v>
      </c>
      <c r="F47" s="18" t="s">
        <v>767</v>
      </c>
      <c r="G47" s="7">
        <v>5524306.6699999999</v>
      </c>
      <c r="H47" s="7">
        <v>14702114.710000001</v>
      </c>
      <c r="I47" s="8">
        <f t="shared" si="0"/>
        <v>9177808.040000001</v>
      </c>
    </row>
    <row r="48" spans="1:9" s="4" customFormat="1" ht="16.5">
      <c r="A48" s="6" t="str">
        <f t="shared" si="3"/>
        <v>6.1</v>
      </c>
      <c r="B48" s="49" t="s">
        <v>670</v>
      </c>
      <c r="C48" s="49" t="str">
        <f t="shared" si="4"/>
        <v>6.10.90</v>
      </c>
      <c r="D48" s="49" t="s">
        <v>768</v>
      </c>
      <c r="E48" s="15" t="s">
        <v>769</v>
      </c>
      <c r="F48" s="16" t="s">
        <v>770</v>
      </c>
      <c r="G48" s="5">
        <v>0</v>
      </c>
      <c r="H48" s="5">
        <v>0</v>
      </c>
      <c r="I48" s="6">
        <f t="shared" si="0"/>
        <v>0</v>
      </c>
    </row>
    <row r="49" spans="1:9" s="4" customFormat="1" ht="16.5">
      <c r="A49" s="6" t="str">
        <f t="shared" si="3"/>
        <v>6.1</v>
      </c>
      <c r="B49" s="49" t="s">
        <v>670</v>
      </c>
      <c r="C49" s="49" t="str">
        <f t="shared" si="4"/>
        <v>6.10.90</v>
      </c>
      <c r="D49" s="49" t="s">
        <v>768</v>
      </c>
      <c r="E49" s="15" t="s">
        <v>771</v>
      </c>
      <c r="F49" s="16" t="s">
        <v>772</v>
      </c>
      <c r="G49" s="5">
        <v>0</v>
      </c>
      <c r="H49" s="5">
        <v>0</v>
      </c>
      <c r="I49" s="6">
        <f t="shared" si="0"/>
        <v>0</v>
      </c>
    </row>
    <row r="50" spans="1:9" s="4" customFormat="1" ht="16.5">
      <c r="A50" s="6" t="str">
        <f t="shared" si="3"/>
        <v>6.1</v>
      </c>
      <c r="B50" s="49" t="s">
        <v>670</v>
      </c>
      <c r="C50" s="49" t="str">
        <f t="shared" si="4"/>
        <v>6.10.90</v>
      </c>
      <c r="D50" s="49" t="s">
        <v>768</v>
      </c>
      <c r="E50" s="15" t="s">
        <v>773</v>
      </c>
      <c r="F50" s="16" t="s">
        <v>774</v>
      </c>
      <c r="G50" s="5">
        <v>0</v>
      </c>
      <c r="H50" s="5">
        <v>0</v>
      </c>
      <c r="I50" s="6">
        <f t="shared" si="0"/>
        <v>0</v>
      </c>
    </row>
    <row r="51" spans="1:9" s="4" customFormat="1" ht="16.5">
      <c r="A51" s="6" t="str">
        <f t="shared" si="3"/>
        <v>6.1</v>
      </c>
      <c r="B51" s="49" t="s">
        <v>670</v>
      </c>
      <c r="C51" s="49" t="str">
        <f t="shared" si="4"/>
        <v>6.10.90</v>
      </c>
      <c r="D51" s="49" t="s">
        <v>768</v>
      </c>
      <c r="E51" s="15" t="s">
        <v>775</v>
      </c>
      <c r="F51" s="16" t="s">
        <v>776</v>
      </c>
      <c r="G51" s="5">
        <v>0</v>
      </c>
      <c r="H51" s="5">
        <v>0</v>
      </c>
      <c r="I51" s="6">
        <f t="shared" si="0"/>
        <v>0</v>
      </c>
    </row>
    <row r="52" spans="1:9" s="4" customFormat="1" ht="16.5">
      <c r="A52" s="6" t="str">
        <f t="shared" si="3"/>
        <v>6.1</v>
      </c>
      <c r="B52" s="49" t="s">
        <v>670</v>
      </c>
      <c r="C52" s="49" t="str">
        <f t="shared" si="4"/>
        <v>6.10.90</v>
      </c>
      <c r="D52" s="49" t="s">
        <v>768</v>
      </c>
      <c r="E52" s="15" t="s">
        <v>777</v>
      </c>
      <c r="F52" s="16" t="s">
        <v>778</v>
      </c>
      <c r="G52" s="5">
        <v>0</v>
      </c>
      <c r="H52" s="5">
        <v>0</v>
      </c>
      <c r="I52" s="6">
        <f>H52-G52</f>
        <v>0</v>
      </c>
    </row>
    <row r="53" spans="1:9" s="4" customFormat="1" ht="17.25" thickBot="1">
      <c r="A53" s="6" t="str">
        <f t="shared" si="3"/>
        <v>6.1</v>
      </c>
      <c r="B53" s="49" t="s">
        <v>670</v>
      </c>
      <c r="C53" s="49" t="str">
        <f t="shared" si="4"/>
        <v>6.10.90</v>
      </c>
      <c r="D53" s="49" t="s">
        <v>768</v>
      </c>
      <c r="E53" s="19" t="s">
        <v>779</v>
      </c>
      <c r="F53" s="20" t="s">
        <v>780</v>
      </c>
      <c r="G53" s="9">
        <v>0</v>
      </c>
      <c r="H53" s="9">
        <v>0</v>
      </c>
      <c r="I53" s="10">
        <f>H53-G53</f>
        <v>0</v>
      </c>
    </row>
    <row r="54" spans="1:9" s="4" customFormat="1" ht="16.5">
      <c r="A54" s="6" t="str">
        <f t="shared" ref="A54:A81" si="5">+LEFT(E54,3)</f>
        <v>6.2</v>
      </c>
      <c r="B54" s="49" t="s">
        <v>781</v>
      </c>
      <c r="C54" s="49" t="str">
        <f t="shared" ref="C54:C81" si="6">+LEFT(E54,7)</f>
        <v>6.20.10</v>
      </c>
      <c r="D54" s="49" t="s">
        <v>782</v>
      </c>
      <c r="E54" s="15" t="s">
        <v>783</v>
      </c>
      <c r="F54" s="16" t="s">
        <v>673</v>
      </c>
      <c r="G54" s="5">
        <v>0</v>
      </c>
      <c r="H54" s="5">
        <v>0</v>
      </c>
      <c r="I54" s="6">
        <f t="shared" ref="I54:I103" si="7">G54-H54</f>
        <v>0</v>
      </c>
    </row>
    <row r="55" spans="1:9" s="4" customFormat="1" ht="16.5">
      <c r="A55" s="6" t="str">
        <f t="shared" si="5"/>
        <v>6.2</v>
      </c>
      <c r="B55" s="49" t="s">
        <v>781</v>
      </c>
      <c r="C55" s="49" t="str">
        <f t="shared" si="6"/>
        <v>6.20.10</v>
      </c>
      <c r="D55" s="49" t="s">
        <v>782</v>
      </c>
      <c r="E55" s="15" t="s">
        <v>784</v>
      </c>
      <c r="F55" s="16" t="s">
        <v>21</v>
      </c>
      <c r="G55" s="5">
        <v>0</v>
      </c>
      <c r="H55" s="5">
        <v>0</v>
      </c>
      <c r="I55" s="6">
        <f t="shared" si="7"/>
        <v>0</v>
      </c>
    </row>
    <row r="56" spans="1:9" s="4" customFormat="1" ht="16.5">
      <c r="A56" s="6" t="str">
        <f t="shared" si="5"/>
        <v>6.2</v>
      </c>
      <c r="B56" s="49" t="s">
        <v>781</v>
      </c>
      <c r="C56" s="49" t="str">
        <f t="shared" si="6"/>
        <v>6.20.10</v>
      </c>
      <c r="D56" s="49" t="s">
        <v>785</v>
      </c>
      <c r="E56" s="36" t="s">
        <v>786</v>
      </c>
      <c r="F56" s="39" t="s">
        <v>35</v>
      </c>
      <c r="G56" s="5">
        <v>0</v>
      </c>
      <c r="H56" s="5">
        <v>0</v>
      </c>
      <c r="I56" s="42">
        <f t="shared" si="7"/>
        <v>0</v>
      </c>
    </row>
    <row r="57" spans="1:9" s="4" customFormat="1" ht="16.5">
      <c r="A57" s="6" t="str">
        <f t="shared" si="5"/>
        <v>6.2</v>
      </c>
      <c r="B57" s="49" t="s">
        <v>781</v>
      </c>
      <c r="C57" s="49" t="str">
        <f t="shared" si="6"/>
        <v>6.20.10</v>
      </c>
      <c r="D57" s="49" t="s">
        <v>785</v>
      </c>
      <c r="E57" s="36" t="s">
        <v>787</v>
      </c>
      <c r="F57" s="39" t="s">
        <v>681</v>
      </c>
      <c r="G57" s="5">
        <v>0</v>
      </c>
      <c r="H57" s="5">
        <v>0</v>
      </c>
      <c r="I57" s="42">
        <f t="shared" si="7"/>
        <v>0</v>
      </c>
    </row>
    <row r="58" spans="1:9" s="4" customFormat="1" ht="16.5">
      <c r="A58" s="6" t="str">
        <f t="shared" si="5"/>
        <v>6.2</v>
      </c>
      <c r="B58" s="49" t="s">
        <v>781</v>
      </c>
      <c r="C58" s="49" t="str">
        <f t="shared" si="6"/>
        <v>6.20.10</v>
      </c>
      <c r="D58" s="49" t="s">
        <v>785</v>
      </c>
      <c r="E58" s="36" t="s">
        <v>788</v>
      </c>
      <c r="F58" s="39" t="s">
        <v>72</v>
      </c>
      <c r="G58" s="5">
        <v>0</v>
      </c>
      <c r="H58" s="5">
        <v>0</v>
      </c>
      <c r="I58" s="42">
        <f t="shared" si="7"/>
        <v>0</v>
      </c>
    </row>
    <row r="59" spans="1:9" s="4" customFormat="1" ht="16.5">
      <c r="A59" s="6" t="str">
        <f t="shared" si="5"/>
        <v>6.2</v>
      </c>
      <c r="B59" s="49" t="s">
        <v>781</v>
      </c>
      <c r="C59" s="49" t="str">
        <f t="shared" si="6"/>
        <v>6.20.10</v>
      </c>
      <c r="D59" s="49" t="s">
        <v>785</v>
      </c>
      <c r="E59" s="36" t="s">
        <v>789</v>
      </c>
      <c r="F59" s="39" t="s">
        <v>684</v>
      </c>
      <c r="G59" s="5">
        <v>0</v>
      </c>
      <c r="H59" s="5">
        <v>0</v>
      </c>
      <c r="I59" s="42">
        <f t="shared" si="7"/>
        <v>0</v>
      </c>
    </row>
    <row r="60" spans="1:9" s="4" customFormat="1" ht="16.5">
      <c r="A60" s="6" t="str">
        <f t="shared" si="5"/>
        <v>6.2</v>
      </c>
      <c r="B60" s="49" t="s">
        <v>781</v>
      </c>
      <c r="C60" s="49" t="str">
        <f t="shared" si="6"/>
        <v>6.20.10</v>
      </c>
      <c r="D60" s="49" t="s">
        <v>785</v>
      </c>
      <c r="E60" s="36" t="s">
        <v>790</v>
      </c>
      <c r="F60" s="39" t="s">
        <v>686</v>
      </c>
      <c r="G60" s="5">
        <v>0</v>
      </c>
      <c r="H60" s="5">
        <v>0</v>
      </c>
      <c r="I60" s="42">
        <f t="shared" si="7"/>
        <v>0</v>
      </c>
    </row>
    <row r="61" spans="1:9" s="4" customFormat="1" ht="16.5">
      <c r="A61" s="6" t="str">
        <f t="shared" si="5"/>
        <v>6.2</v>
      </c>
      <c r="B61" s="49" t="s">
        <v>781</v>
      </c>
      <c r="C61" s="49" t="str">
        <f t="shared" si="6"/>
        <v>6.20.10</v>
      </c>
      <c r="D61" s="49" t="s">
        <v>785</v>
      </c>
      <c r="E61" s="36" t="s">
        <v>791</v>
      </c>
      <c r="F61" s="39" t="s">
        <v>688</v>
      </c>
      <c r="G61" s="5">
        <v>0</v>
      </c>
      <c r="H61" s="5">
        <v>0</v>
      </c>
      <c r="I61" s="42">
        <f t="shared" si="7"/>
        <v>0</v>
      </c>
    </row>
    <row r="62" spans="1:9" s="4" customFormat="1" ht="16.5">
      <c r="A62" s="6" t="str">
        <f t="shared" si="5"/>
        <v>6.2</v>
      </c>
      <c r="B62" s="49" t="s">
        <v>781</v>
      </c>
      <c r="C62" s="49" t="str">
        <f t="shared" si="6"/>
        <v>6.20.10</v>
      </c>
      <c r="D62" s="49" t="s">
        <v>785</v>
      </c>
      <c r="E62" s="36" t="s">
        <v>792</v>
      </c>
      <c r="F62" s="39" t="s">
        <v>690</v>
      </c>
      <c r="G62" s="5">
        <v>0</v>
      </c>
      <c r="H62" s="5">
        <v>0</v>
      </c>
      <c r="I62" s="42">
        <f t="shared" si="7"/>
        <v>0</v>
      </c>
    </row>
    <row r="63" spans="1:9" s="4" customFormat="1" ht="16.5">
      <c r="A63" s="6" t="str">
        <f t="shared" si="5"/>
        <v>6.2</v>
      </c>
      <c r="B63" s="49" t="s">
        <v>781</v>
      </c>
      <c r="C63" s="49" t="str">
        <f t="shared" si="6"/>
        <v>6.20.10</v>
      </c>
      <c r="D63" s="49" t="s">
        <v>785</v>
      </c>
      <c r="E63" s="36" t="s">
        <v>793</v>
      </c>
      <c r="F63" s="39" t="s">
        <v>692</v>
      </c>
      <c r="G63" s="5">
        <v>0</v>
      </c>
      <c r="H63" s="5">
        <v>0</v>
      </c>
      <c r="I63" s="42">
        <f t="shared" si="7"/>
        <v>0</v>
      </c>
    </row>
    <row r="64" spans="1:9" s="4" customFormat="1" ht="16.5">
      <c r="A64" s="6" t="str">
        <f t="shared" si="5"/>
        <v>6.2</v>
      </c>
      <c r="B64" s="49" t="s">
        <v>781</v>
      </c>
      <c r="C64" s="49" t="str">
        <f t="shared" si="6"/>
        <v>6.20.10</v>
      </c>
      <c r="D64" s="49" t="s">
        <v>785</v>
      </c>
      <c r="E64" s="73" t="s">
        <v>794</v>
      </c>
      <c r="F64" s="74" t="s">
        <v>694</v>
      </c>
      <c r="G64" s="64">
        <v>0</v>
      </c>
      <c r="H64" s="64">
        <v>0</v>
      </c>
      <c r="I64" s="65">
        <f t="shared" si="7"/>
        <v>0</v>
      </c>
    </row>
    <row r="65" spans="1:9" s="4" customFormat="1" ht="16.5">
      <c r="A65" s="6" t="str">
        <f t="shared" si="5"/>
        <v>6.2</v>
      </c>
      <c r="B65" s="49" t="s">
        <v>781</v>
      </c>
      <c r="C65" s="49" t="str">
        <f t="shared" si="6"/>
        <v>6.20.10</v>
      </c>
      <c r="D65" s="49" t="s">
        <v>795</v>
      </c>
      <c r="E65" s="36" t="s">
        <v>796</v>
      </c>
      <c r="F65" s="39" t="s">
        <v>209</v>
      </c>
      <c r="G65" s="5">
        <v>0</v>
      </c>
      <c r="H65" s="5">
        <v>0</v>
      </c>
      <c r="I65" s="42">
        <f t="shared" si="7"/>
        <v>0</v>
      </c>
    </row>
    <row r="66" spans="1:9" s="4" customFormat="1" ht="16.5">
      <c r="A66" s="6" t="str">
        <f t="shared" si="5"/>
        <v>6.2</v>
      </c>
      <c r="B66" s="49" t="s">
        <v>781</v>
      </c>
      <c r="C66" s="49" t="str">
        <f t="shared" si="6"/>
        <v>6.20.10</v>
      </c>
      <c r="D66" s="49" t="s">
        <v>795</v>
      </c>
      <c r="E66" s="36" t="s">
        <v>797</v>
      </c>
      <c r="F66" s="39" t="s">
        <v>698</v>
      </c>
      <c r="G66" s="5">
        <v>0</v>
      </c>
      <c r="H66" s="5">
        <v>0</v>
      </c>
      <c r="I66" s="42">
        <f t="shared" si="7"/>
        <v>0</v>
      </c>
    </row>
    <row r="67" spans="1:9" s="4" customFormat="1" ht="16.5">
      <c r="A67" s="6" t="str">
        <f t="shared" si="5"/>
        <v>6.2</v>
      </c>
      <c r="B67" s="49" t="s">
        <v>781</v>
      </c>
      <c r="C67" s="49" t="str">
        <f t="shared" si="6"/>
        <v>6.20.10</v>
      </c>
      <c r="D67" s="49" t="s">
        <v>795</v>
      </c>
      <c r="E67" s="36" t="s">
        <v>798</v>
      </c>
      <c r="F67" s="39" t="s">
        <v>700</v>
      </c>
      <c r="G67" s="5">
        <v>0</v>
      </c>
      <c r="H67" s="5">
        <v>0</v>
      </c>
      <c r="I67" s="42">
        <f t="shared" si="7"/>
        <v>0</v>
      </c>
    </row>
    <row r="68" spans="1:9" s="4" customFormat="1" ht="16.5">
      <c r="A68" s="6" t="str">
        <f t="shared" si="5"/>
        <v>6.2</v>
      </c>
      <c r="B68" s="49" t="s">
        <v>781</v>
      </c>
      <c r="C68" s="49" t="str">
        <f t="shared" si="6"/>
        <v>6.20.10</v>
      </c>
      <c r="D68" s="49" t="s">
        <v>795</v>
      </c>
      <c r="E68" s="36" t="s">
        <v>799</v>
      </c>
      <c r="F68" s="39" t="s">
        <v>702</v>
      </c>
      <c r="G68" s="5">
        <v>0</v>
      </c>
      <c r="H68" s="5">
        <v>0</v>
      </c>
      <c r="I68" s="42">
        <f t="shared" si="7"/>
        <v>0</v>
      </c>
    </row>
    <row r="69" spans="1:9" s="4" customFormat="1" ht="16.5">
      <c r="A69" s="6" t="str">
        <f t="shared" si="5"/>
        <v>6.2</v>
      </c>
      <c r="B69" s="49" t="s">
        <v>781</v>
      </c>
      <c r="C69" s="49" t="str">
        <f t="shared" si="6"/>
        <v>6.20.10</v>
      </c>
      <c r="D69" s="49" t="s">
        <v>795</v>
      </c>
      <c r="E69" s="36" t="s">
        <v>800</v>
      </c>
      <c r="F69" s="39" t="s">
        <v>704</v>
      </c>
      <c r="G69" s="5">
        <v>0</v>
      </c>
      <c r="H69" s="5">
        <v>0</v>
      </c>
      <c r="I69" s="42">
        <f t="shared" si="7"/>
        <v>0</v>
      </c>
    </row>
    <row r="70" spans="1:9" s="4" customFormat="1" ht="16.5">
      <c r="A70" s="6" t="str">
        <f t="shared" si="5"/>
        <v>6.2</v>
      </c>
      <c r="B70" s="49" t="s">
        <v>781</v>
      </c>
      <c r="C70" s="49" t="str">
        <f t="shared" si="6"/>
        <v>6.20.10</v>
      </c>
      <c r="D70" s="49" t="s">
        <v>795</v>
      </c>
      <c r="E70" s="73" t="s">
        <v>801</v>
      </c>
      <c r="F70" s="74" t="s">
        <v>217</v>
      </c>
      <c r="G70" s="64">
        <v>0</v>
      </c>
      <c r="H70" s="64">
        <v>0</v>
      </c>
      <c r="I70" s="65">
        <f t="shared" si="7"/>
        <v>0</v>
      </c>
    </row>
    <row r="71" spans="1:9" s="4" customFormat="1" ht="16.5">
      <c r="A71" s="6" t="str">
        <f t="shared" si="5"/>
        <v>6.2</v>
      </c>
      <c r="B71" s="49" t="s">
        <v>781</v>
      </c>
      <c r="C71" s="49" t="str">
        <f t="shared" si="6"/>
        <v>6.20.10</v>
      </c>
      <c r="D71" s="49" t="s">
        <v>802</v>
      </c>
      <c r="E71" s="36" t="s">
        <v>803</v>
      </c>
      <c r="F71" s="39" t="s">
        <v>123</v>
      </c>
      <c r="G71" s="5">
        <v>0</v>
      </c>
      <c r="H71" s="5">
        <v>0</v>
      </c>
      <c r="I71" s="42">
        <f t="shared" si="7"/>
        <v>0</v>
      </c>
    </row>
    <row r="72" spans="1:9" s="4" customFormat="1" ht="19.149999999999999" customHeight="1">
      <c r="A72" s="6" t="str">
        <f t="shared" si="5"/>
        <v>6.2</v>
      </c>
      <c r="B72" s="49" t="s">
        <v>781</v>
      </c>
      <c r="C72" s="49" t="str">
        <f t="shared" si="6"/>
        <v>6.20.10</v>
      </c>
      <c r="D72" s="49" t="s">
        <v>804</v>
      </c>
      <c r="E72" s="75" t="s">
        <v>805</v>
      </c>
      <c r="F72" s="40" t="s">
        <v>710</v>
      </c>
      <c r="G72" s="5">
        <v>0</v>
      </c>
      <c r="H72" s="5">
        <v>0</v>
      </c>
      <c r="I72" s="66">
        <f t="shared" si="7"/>
        <v>0</v>
      </c>
    </row>
    <row r="73" spans="1:9" s="4" customFormat="1" ht="16.5" customHeight="1">
      <c r="A73" s="6" t="str">
        <f t="shared" si="5"/>
        <v>6.2</v>
      </c>
      <c r="B73" s="49" t="s">
        <v>781</v>
      </c>
      <c r="C73" s="49" t="str">
        <f t="shared" si="6"/>
        <v>6.20.10</v>
      </c>
      <c r="D73" s="49" t="s">
        <v>804</v>
      </c>
      <c r="E73" s="80" t="s">
        <v>806</v>
      </c>
      <c r="F73" s="81" t="s">
        <v>712</v>
      </c>
      <c r="G73" s="70">
        <v>0</v>
      </c>
      <c r="H73" s="70">
        <v>0</v>
      </c>
      <c r="I73" s="71">
        <f t="shared" si="7"/>
        <v>0</v>
      </c>
    </row>
    <row r="74" spans="1:9" s="4" customFormat="1" ht="16.5">
      <c r="A74" s="6" t="str">
        <f t="shared" si="5"/>
        <v>6.2</v>
      </c>
      <c r="B74" s="49" t="s">
        <v>781</v>
      </c>
      <c r="C74" s="49" t="str">
        <f t="shared" si="6"/>
        <v>6.20.10</v>
      </c>
      <c r="D74" s="49" t="s">
        <v>782</v>
      </c>
      <c r="E74" s="37" t="s">
        <v>807</v>
      </c>
      <c r="F74" s="50" t="s">
        <v>358</v>
      </c>
      <c r="G74" s="29">
        <v>0</v>
      </c>
      <c r="H74" s="29">
        <v>0</v>
      </c>
      <c r="I74" s="43">
        <f t="shared" si="7"/>
        <v>0</v>
      </c>
    </row>
    <row r="75" spans="1:9" s="4" customFormat="1" ht="16.5">
      <c r="A75" s="6" t="str">
        <f t="shared" si="5"/>
        <v>6.2</v>
      </c>
      <c r="B75" s="49" t="s">
        <v>781</v>
      </c>
      <c r="C75" s="49" t="str">
        <f t="shared" si="6"/>
        <v>6.20.10</v>
      </c>
      <c r="D75" s="49" t="s">
        <v>808</v>
      </c>
      <c r="E75" s="36" t="s">
        <v>809</v>
      </c>
      <c r="F75" s="39" t="s">
        <v>810</v>
      </c>
      <c r="G75" s="5">
        <v>0</v>
      </c>
      <c r="H75" s="5">
        <v>0</v>
      </c>
      <c r="I75" s="42">
        <f t="shared" si="7"/>
        <v>0</v>
      </c>
    </row>
    <row r="76" spans="1:9" s="4" customFormat="1" ht="16.5">
      <c r="A76" s="6" t="str">
        <f t="shared" si="5"/>
        <v>6.2</v>
      </c>
      <c r="B76" s="49" t="s">
        <v>781</v>
      </c>
      <c r="C76" s="49" t="str">
        <f t="shared" si="6"/>
        <v>6.20.10</v>
      </c>
      <c r="D76" s="49" t="s">
        <v>808</v>
      </c>
      <c r="E76" s="38" t="s">
        <v>811</v>
      </c>
      <c r="F76" s="56" t="s">
        <v>812</v>
      </c>
      <c r="G76" s="7">
        <v>0</v>
      </c>
      <c r="H76" s="7">
        <v>0</v>
      </c>
      <c r="I76" s="44">
        <f t="shared" si="7"/>
        <v>0</v>
      </c>
    </row>
    <row r="77" spans="1:9" s="4" customFormat="1" ht="16.5">
      <c r="A77" s="6" t="str">
        <f t="shared" si="5"/>
        <v>6.2</v>
      </c>
      <c r="B77" s="49" t="s">
        <v>781</v>
      </c>
      <c r="C77" s="49" t="str">
        <f t="shared" si="6"/>
        <v>6.20.20</v>
      </c>
      <c r="D77" s="49" t="s">
        <v>813</v>
      </c>
      <c r="E77" s="17" t="s">
        <v>814</v>
      </c>
      <c r="F77" s="18" t="s">
        <v>815</v>
      </c>
      <c r="G77" s="7">
        <v>0</v>
      </c>
      <c r="H77" s="7">
        <v>0</v>
      </c>
      <c r="I77" s="8">
        <f t="shared" si="7"/>
        <v>0</v>
      </c>
    </row>
    <row r="78" spans="1:9" s="4" customFormat="1" ht="16.5">
      <c r="A78" s="6" t="str">
        <f t="shared" si="5"/>
        <v>6.2</v>
      </c>
      <c r="B78" s="49" t="s">
        <v>781</v>
      </c>
      <c r="C78" s="49" t="str">
        <f t="shared" si="6"/>
        <v>6.20.30</v>
      </c>
      <c r="D78" s="49" t="s">
        <v>816</v>
      </c>
      <c r="E78" s="15" t="s">
        <v>817</v>
      </c>
      <c r="F78" s="16" t="s">
        <v>818</v>
      </c>
      <c r="G78" s="5">
        <v>155093764.34999999</v>
      </c>
      <c r="H78" s="5">
        <v>153965758.09</v>
      </c>
      <c r="I78" s="6">
        <f t="shared" si="7"/>
        <v>1128006.2599999905</v>
      </c>
    </row>
    <row r="79" spans="1:9" s="4" customFormat="1" ht="16.5">
      <c r="A79" s="6" t="str">
        <f t="shared" si="5"/>
        <v>6.2</v>
      </c>
      <c r="B79" s="49" t="s">
        <v>781</v>
      </c>
      <c r="C79" s="49" t="str">
        <f t="shared" si="6"/>
        <v>6.20.30</v>
      </c>
      <c r="D79" s="49" t="s">
        <v>816</v>
      </c>
      <c r="E79" s="17" t="s">
        <v>819</v>
      </c>
      <c r="F79" s="18" t="s">
        <v>820</v>
      </c>
      <c r="G79" s="7">
        <v>0</v>
      </c>
      <c r="H79" s="7">
        <v>0</v>
      </c>
      <c r="I79" s="8">
        <f t="shared" si="7"/>
        <v>0</v>
      </c>
    </row>
    <row r="80" spans="1:9" s="4" customFormat="1" ht="16.5">
      <c r="A80" s="6" t="str">
        <f t="shared" si="5"/>
        <v>6.2</v>
      </c>
      <c r="B80" s="49" t="s">
        <v>781</v>
      </c>
      <c r="C80" s="49" t="str">
        <f t="shared" si="6"/>
        <v>6.20.40</v>
      </c>
      <c r="D80" s="49" t="s">
        <v>821</v>
      </c>
      <c r="E80" s="15" t="s">
        <v>822</v>
      </c>
      <c r="F80" s="16" t="s">
        <v>745</v>
      </c>
      <c r="G80" s="5">
        <v>4635469.5999999996</v>
      </c>
      <c r="H80" s="5">
        <v>0</v>
      </c>
      <c r="I80" s="6">
        <f t="shared" si="7"/>
        <v>4635469.5999999996</v>
      </c>
    </row>
    <row r="81" spans="1:9" s="4" customFormat="1" ht="16.5">
      <c r="A81" s="6" t="str">
        <f t="shared" si="5"/>
        <v>6.2</v>
      </c>
      <c r="B81" s="49" t="s">
        <v>781</v>
      </c>
      <c r="C81" s="49" t="str">
        <f t="shared" si="6"/>
        <v>6.20.40</v>
      </c>
      <c r="D81" s="49" t="s">
        <v>821</v>
      </c>
      <c r="E81" s="15" t="s">
        <v>823</v>
      </c>
      <c r="F81" s="16" t="s">
        <v>824</v>
      </c>
      <c r="G81" s="5">
        <v>0</v>
      </c>
      <c r="H81" s="5">
        <v>0</v>
      </c>
      <c r="I81" s="6">
        <f t="shared" si="7"/>
        <v>0</v>
      </c>
    </row>
    <row r="82" spans="1:9" s="4" customFormat="1" ht="16.5">
      <c r="A82" s="6" t="str">
        <f t="shared" ref="A82:A94" si="8">+LEFT(E82,3)</f>
        <v>6.2</v>
      </c>
      <c r="B82" s="49" t="s">
        <v>781</v>
      </c>
      <c r="C82" s="49" t="str">
        <f t="shared" ref="C82:C94" si="9">+LEFT(E82,7)</f>
        <v>6.20.50</v>
      </c>
      <c r="D82" s="49" t="s">
        <v>825</v>
      </c>
      <c r="E82" s="36" t="s">
        <v>826</v>
      </c>
      <c r="F82" s="39" t="s">
        <v>827</v>
      </c>
      <c r="G82" s="5">
        <v>0</v>
      </c>
      <c r="H82" s="5">
        <v>0</v>
      </c>
      <c r="I82" s="42">
        <f t="shared" si="7"/>
        <v>0</v>
      </c>
    </row>
    <row r="83" spans="1:9" s="4" customFormat="1" ht="16.5">
      <c r="A83" s="6" t="str">
        <f t="shared" si="8"/>
        <v>6.2</v>
      </c>
      <c r="B83" s="49" t="s">
        <v>781</v>
      </c>
      <c r="C83" s="49" t="str">
        <f t="shared" si="9"/>
        <v>6.20.50</v>
      </c>
      <c r="D83" s="49" t="s">
        <v>825</v>
      </c>
      <c r="E83" s="36" t="s">
        <v>828</v>
      </c>
      <c r="F83" s="39" t="s">
        <v>829</v>
      </c>
      <c r="G83" s="5">
        <v>1912047.6</v>
      </c>
      <c r="H83" s="5">
        <v>0</v>
      </c>
      <c r="I83" s="42">
        <f t="shared" si="7"/>
        <v>1912047.6</v>
      </c>
    </row>
    <row r="84" spans="1:9" s="4" customFormat="1" ht="16.5">
      <c r="A84" s="6" t="str">
        <f t="shared" si="8"/>
        <v>6.2</v>
      </c>
      <c r="B84" s="49" t="s">
        <v>781</v>
      </c>
      <c r="C84" s="49" t="str">
        <f t="shared" si="9"/>
        <v>6.20.50</v>
      </c>
      <c r="D84" s="49" t="s">
        <v>825</v>
      </c>
      <c r="E84" s="73" t="s">
        <v>830</v>
      </c>
      <c r="F84" s="74" t="s">
        <v>831</v>
      </c>
      <c r="G84" s="64">
        <v>121294725.17</v>
      </c>
      <c r="H84" s="64">
        <v>86136289.060000002</v>
      </c>
      <c r="I84" s="65">
        <f t="shared" si="7"/>
        <v>35158436.109999999</v>
      </c>
    </row>
    <row r="85" spans="1:9" s="4" customFormat="1" ht="16.5">
      <c r="A85" s="6" t="str">
        <f t="shared" si="8"/>
        <v>6.2</v>
      </c>
      <c r="B85" s="49" t="s">
        <v>781</v>
      </c>
      <c r="C85" s="49" t="str">
        <f t="shared" si="9"/>
        <v>6.20.50</v>
      </c>
      <c r="D85" s="49" t="s">
        <v>832</v>
      </c>
      <c r="E85" s="36" t="s">
        <v>833</v>
      </c>
      <c r="F85" s="39" t="s">
        <v>827</v>
      </c>
      <c r="G85" s="5">
        <v>0</v>
      </c>
      <c r="H85" s="5">
        <v>0</v>
      </c>
      <c r="I85" s="42">
        <f t="shared" si="7"/>
        <v>0</v>
      </c>
    </row>
    <row r="86" spans="1:9" s="4" customFormat="1" ht="16.5">
      <c r="A86" s="6" t="str">
        <f t="shared" si="8"/>
        <v>6.2</v>
      </c>
      <c r="B86" s="49" t="s">
        <v>781</v>
      </c>
      <c r="C86" s="49" t="str">
        <f t="shared" si="9"/>
        <v>6.20.50</v>
      </c>
      <c r="D86" s="49" t="s">
        <v>832</v>
      </c>
      <c r="E86" s="36" t="s">
        <v>834</v>
      </c>
      <c r="F86" s="39" t="s">
        <v>829</v>
      </c>
      <c r="G86" s="5">
        <v>0</v>
      </c>
      <c r="H86" s="5">
        <v>0</v>
      </c>
      <c r="I86" s="42">
        <f t="shared" si="7"/>
        <v>0</v>
      </c>
    </row>
    <row r="87" spans="1:9" s="4" customFormat="1" ht="16.5">
      <c r="A87" s="6" t="str">
        <f t="shared" si="8"/>
        <v>6.2</v>
      </c>
      <c r="B87" s="49" t="s">
        <v>781</v>
      </c>
      <c r="C87" s="49" t="str">
        <f t="shared" si="9"/>
        <v>6.20.50</v>
      </c>
      <c r="D87" s="49" t="s">
        <v>832</v>
      </c>
      <c r="E87" s="73" t="s">
        <v>835</v>
      </c>
      <c r="F87" s="74" t="s">
        <v>831</v>
      </c>
      <c r="G87" s="64">
        <v>25150</v>
      </c>
      <c r="H87" s="64">
        <v>0</v>
      </c>
      <c r="I87" s="65">
        <f t="shared" si="7"/>
        <v>25150</v>
      </c>
    </row>
    <row r="88" spans="1:9" s="4" customFormat="1" ht="16.5">
      <c r="A88" s="6" t="str">
        <f t="shared" si="8"/>
        <v>6.2</v>
      </c>
      <c r="B88" s="49" t="s">
        <v>781</v>
      </c>
      <c r="C88" s="49" t="str">
        <f t="shared" si="9"/>
        <v>6.20.50</v>
      </c>
      <c r="D88" s="49" t="s">
        <v>832</v>
      </c>
      <c r="E88" s="78" t="s">
        <v>836</v>
      </c>
      <c r="F88" s="79" t="s">
        <v>837</v>
      </c>
      <c r="G88" s="64">
        <v>26752793.210000001</v>
      </c>
      <c r="H88" s="64">
        <v>0</v>
      </c>
      <c r="I88" s="69">
        <f t="shared" si="7"/>
        <v>26752793.210000001</v>
      </c>
    </row>
    <row r="89" spans="1:9" s="4" customFormat="1" ht="16.5">
      <c r="A89" s="6" t="str">
        <f t="shared" si="8"/>
        <v>6.2</v>
      </c>
      <c r="B89" s="49" t="s">
        <v>781</v>
      </c>
      <c r="C89" s="49" t="str">
        <f t="shared" si="9"/>
        <v>6.20.60</v>
      </c>
      <c r="D89" s="49" t="s">
        <v>838</v>
      </c>
      <c r="E89" s="15" t="s">
        <v>839</v>
      </c>
      <c r="F89" s="16" t="s">
        <v>227</v>
      </c>
      <c r="G89" s="5">
        <v>0</v>
      </c>
      <c r="H89" s="5">
        <v>0</v>
      </c>
      <c r="I89" s="6">
        <f t="shared" si="7"/>
        <v>0</v>
      </c>
    </row>
    <row r="90" spans="1:9" s="4" customFormat="1" ht="16.5">
      <c r="A90" s="6" t="str">
        <f t="shared" si="8"/>
        <v>6.2</v>
      </c>
      <c r="B90" s="49" t="s">
        <v>781</v>
      </c>
      <c r="C90" s="49" t="str">
        <f t="shared" si="9"/>
        <v>6.20.60</v>
      </c>
      <c r="D90" s="49" t="s">
        <v>838</v>
      </c>
      <c r="E90" s="15" t="s">
        <v>840</v>
      </c>
      <c r="F90" s="16" t="s">
        <v>841</v>
      </c>
      <c r="G90" s="5">
        <v>0</v>
      </c>
      <c r="H90" s="5">
        <v>0</v>
      </c>
      <c r="I90" s="6">
        <f t="shared" si="7"/>
        <v>0</v>
      </c>
    </row>
    <row r="91" spans="1:9" s="4" customFormat="1" ht="16.5">
      <c r="A91" s="6" t="str">
        <f t="shared" si="8"/>
        <v>6.2</v>
      </c>
      <c r="B91" s="49" t="s">
        <v>781</v>
      </c>
      <c r="C91" s="49" t="str">
        <f t="shared" si="9"/>
        <v>6.20.60</v>
      </c>
      <c r="D91" s="49" t="s">
        <v>838</v>
      </c>
      <c r="E91" s="15" t="s">
        <v>842</v>
      </c>
      <c r="F91" s="16" t="s">
        <v>718</v>
      </c>
      <c r="G91" s="5">
        <v>0</v>
      </c>
      <c r="H91" s="5">
        <v>0</v>
      </c>
      <c r="I91" s="6">
        <f t="shared" si="7"/>
        <v>0</v>
      </c>
    </row>
    <row r="92" spans="1:9" s="4" customFormat="1" ht="16.5">
      <c r="A92" s="6" t="str">
        <f t="shared" si="8"/>
        <v>6.2</v>
      </c>
      <c r="B92" s="49" t="s">
        <v>781</v>
      </c>
      <c r="C92" s="49" t="str">
        <f t="shared" si="9"/>
        <v>6.20.60</v>
      </c>
      <c r="D92" s="49" t="s">
        <v>838</v>
      </c>
      <c r="E92" s="15" t="s">
        <v>843</v>
      </c>
      <c r="F92" s="16" t="s">
        <v>720</v>
      </c>
      <c r="G92" s="5">
        <v>0</v>
      </c>
      <c r="H92" s="5">
        <v>0</v>
      </c>
      <c r="I92" s="6">
        <f t="shared" si="7"/>
        <v>0</v>
      </c>
    </row>
    <row r="93" spans="1:9" s="4" customFormat="1" ht="16.5">
      <c r="A93" s="6" t="str">
        <f t="shared" si="8"/>
        <v>6.2</v>
      </c>
      <c r="B93" s="49" t="s">
        <v>781</v>
      </c>
      <c r="C93" s="49" t="str">
        <f t="shared" si="9"/>
        <v>6.20.60</v>
      </c>
      <c r="D93" s="49" t="s">
        <v>838</v>
      </c>
      <c r="E93" s="17" t="s">
        <v>844</v>
      </c>
      <c r="F93" s="18" t="s">
        <v>722</v>
      </c>
      <c r="G93" s="7">
        <v>25590683.199999999</v>
      </c>
      <c r="H93" s="7">
        <v>28510.14</v>
      </c>
      <c r="I93" s="8">
        <f t="shared" si="7"/>
        <v>25562173.059999999</v>
      </c>
    </row>
    <row r="94" spans="1:9" s="61" customFormat="1" ht="16.5">
      <c r="A94" s="6" t="str">
        <f t="shared" si="8"/>
        <v>6.2</v>
      </c>
      <c r="B94" s="49" t="s">
        <v>781</v>
      </c>
      <c r="C94" s="49" t="str">
        <f t="shared" si="9"/>
        <v>6.20.70</v>
      </c>
      <c r="D94" s="49" t="s">
        <v>845</v>
      </c>
      <c r="E94" s="34" t="s">
        <v>846</v>
      </c>
      <c r="F94" s="31" t="s">
        <v>847</v>
      </c>
      <c r="G94" s="5">
        <v>0</v>
      </c>
      <c r="H94" s="5">
        <v>0</v>
      </c>
      <c r="I94" s="72">
        <f t="shared" si="7"/>
        <v>0</v>
      </c>
    </row>
    <row r="95" spans="1:9" s="4" customFormat="1" ht="16.5">
      <c r="A95" s="6" t="str">
        <f t="shared" ref="A95:A112" si="10">+LEFT(E95,3)</f>
        <v>6.2</v>
      </c>
      <c r="B95" s="49" t="s">
        <v>781</v>
      </c>
      <c r="C95" s="49" t="str">
        <f t="shared" ref="C95:C112" si="11">+LEFT(E95,7)</f>
        <v>6.20.80</v>
      </c>
      <c r="D95" s="49" t="s">
        <v>848</v>
      </c>
      <c r="E95" s="36" t="s">
        <v>849</v>
      </c>
      <c r="F95" s="39" t="s">
        <v>850</v>
      </c>
      <c r="G95" s="5">
        <v>0</v>
      </c>
      <c r="H95" s="5">
        <v>0</v>
      </c>
      <c r="I95" s="42">
        <f t="shared" si="7"/>
        <v>0</v>
      </c>
    </row>
    <row r="96" spans="1:9" s="4" customFormat="1" ht="16.5">
      <c r="A96" s="6" t="str">
        <f t="shared" si="10"/>
        <v>6.2</v>
      </c>
      <c r="B96" s="49" t="s">
        <v>781</v>
      </c>
      <c r="C96" s="49" t="str">
        <f t="shared" si="11"/>
        <v>6.20.80</v>
      </c>
      <c r="D96" s="49" t="s">
        <v>848</v>
      </c>
      <c r="E96" s="36" t="s">
        <v>851</v>
      </c>
      <c r="F96" s="39" t="s">
        <v>852</v>
      </c>
      <c r="G96" s="5">
        <v>25826064.32</v>
      </c>
      <c r="H96" s="5">
        <v>0</v>
      </c>
      <c r="I96" s="42">
        <f t="shared" si="7"/>
        <v>25826064.32</v>
      </c>
    </row>
    <row r="97" spans="1:9" s="4" customFormat="1" ht="16.5">
      <c r="A97" s="6" t="str">
        <f t="shared" si="10"/>
        <v>6.2</v>
      </c>
      <c r="B97" s="49" t="s">
        <v>781</v>
      </c>
      <c r="C97" s="49" t="str">
        <f t="shared" si="11"/>
        <v>6.20.80</v>
      </c>
      <c r="D97" s="49" t="s">
        <v>848</v>
      </c>
      <c r="E97" s="36" t="s">
        <v>853</v>
      </c>
      <c r="F97" s="39" t="s">
        <v>854</v>
      </c>
      <c r="G97" s="5">
        <v>0</v>
      </c>
      <c r="H97" s="5">
        <v>0</v>
      </c>
      <c r="I97" s="42">
        <f t="shared" si="7"/>
        <v>0</v>
      </c>
    </row>
    <row r="98" spans="1:9" s="4" customFormat="1" ht="16.5">
      <c r="A98" s="6" t="str">
        <f t="shared" si="10"/>
        <v>6.2</v>
      </c>
      <c r="B98" s="49" t="s">
        <v>781</v>
      </c>
      <c r="C98" s="49" t="str">
        <f t="shared" si="11"/>
        <v>6.20.80</v>
      </c>
      <c r="D98" s="49" t="s">
        <v>848</v>
      </c>
      <c r="E98" s="36" t="s">
        <v>855</v>
      </c>
      <c r="F98" s="39" t="s">
        <v>856</v>
      </c>
      <c r="G98" s="5">
        <v>0</v>
      </c>
      <c r="H98" s="5">
        <v>0</v>
      </c>
      <c r="I98" s="42">
        <f t="shared" si="7"/>
        <v>0</v>
      </c>
    </row>
    <row r="99" spans="1:9" s="4" customFormat="1" ht="16.5">
      <c r="A99" s="6" t="str">
        <f t="shared" si="10"/>
        <v>6.2</v>
      </c>
      <c r="B99" s="49" t="s">
        <v>781</v>
      </c>
      <c r="C99" s="49" t="str">
        <f t="shared" si="11"/>
        <v>6.20.80</v>
      </c>
      <c r="D99" s="49" t="s">
        <v>848</v>
      </c>
      <c r="E99" s="36" t="s">
        <v>857</v>
      </c>
      <c r="F99" s="39" t="s">
        <v>858</v>
      </c>
      <c r="G99" s="5">
        <v>0</v>
      </c>
      <c r="H99" s="5">
        <v>0</v>
      </c>
      <c r="I99" s="42">
        <f t="shared" si="7"/>
        <v>0</v>
      </c>
    </row>
    <row r="100" spans="1:9" s="4" customFormat="1" ht="16.5">
      <c r="A100" s="6" t="str">
        <f t="shared" si="10"/>
        <v>6.2</v>
      </c>
      <c r="B100" s="49" t="s">
        <v>781</v>
      </c>
      <c r="C100" s="49" t="str">
        <f t="shared" si="11"/>
        <v>6.20.80</v>
      </c>
      <c r="D100" s="49" t="s">
        <v>848</v>
      </c>
      <c r="E100" s="73" t="s">
        <v>859</v>
      </c>
      <c r="F100" s="74" t="s">
        <v>860</v>
      </c>
      <c r="G100" s="64">
        <v>809696306.63</v>
      </c>
      <c r="H100" s="64">
        <v>62894250.93</v>
      </c>
      <c r="I100" s="65">
        <f t="shared" si="7"/>
        <v>746802055.70000005</v>
      </c>
    </row>
    <row r="101" spans="1:9" s="4" customFormat="1" ht="16.5">
      <c r="A101" s="6" t="str">
        <f t="shared" si="10"/>
        <v>6.2</v>
      </c>
      <c r="B101" s="49" t="s">
        <v>781</v>
      </c>
      <c r="C101" s="49" t="str">
        <f t="shared" si="11"/>
        <v>6.20.80</v>
      </c>
      <c r="D101" s="49" t="s">
        <v>861</v>
      </c>
      <c r="E101" s="15" t="s">
        <v>862</v>
      </c>
      <c r="F101" s="16" t="s">
        <v>863</v>
      </c>
      <c r="G101" s="5">
        <v>0</v>
      </c>
      <c r="H101" s="5">
        <v>0</v>
      </c>
      <c r="I101" s="6">
        <f t="shared" si="7"/>
        <v>0</v>
      </c>
    </row>
    <row r="102" spans="1:9" s="4" customFormat="1" ht="16.5">
      <c r="A102" s="6" t="str">
        <f t="shared" si="10"/>
        <v>6.2</v>
      </c>
      <c r="B102" s="49" t="s">
        <v>781</v>
      </c>
      <c r="C102" s="49" t="str">
        <f t="shared" si="11"/>
        <v>6.20.80</v>
      </c>
      <c r="D102" s="49" t="s">
        <v>861</v>
      </c>
      <c r="E102" s="15" t="s">
        <v>864</v>
      </c>
      <c r="F102" s="16" t="s">
        <v>865</v>
      </c>
      <c r="G102" s="5">
        <v>13719036.02</v>
      </c>
      <c r="H102" s="5">
        <v>0</v>
      </c>
      <c r="I102" s="6">
        <f t="shared" si="7"/>
        <v>13719036.02</v>
      </c>
    </row>
    <row r="103" spans="1:9" s="4" customFormat="1" ht="16.5">
      <c r="A103" s="6" t="str">
        <f t="shared" si="10"/>
        <v>6.2</v>
      </c>
      <c r="B103" s="49" t="s">
        <v>781</v>
      </c>
      <c r="C103" s="49" t="str">
        <f t="shared" si="11"/>
        <v>6.20.80</v>
      </c>
      <c r="D103" s="49" t="s">
        <v>861</v>
      </c>
      <c r="E103" s="15" t="s">
        <v>866</v>
      </c>
      <c r="F103" s="16" t="s">
        <v>762</v>
      </c>
      <c r="G103" s="5">
        <v>0</v>
      </c>
      <c r="H103" s="5">
        <v>0</v>
      </c>
      <c r="I103" s="6">
        <f t="shared" si="7"/>
        <v>0</v>
      </c>
    </row>
    <row r="104" spans="1:9" s="4" customFormat="1" ht="16.5">
      <c r="A104" s="6" t="str">
        <f t="shared" si="10"/>
        <v>6.2</v>
      </c>
      <c r="B104" s="49" t="s">
        <v>781</v>
      </c>
      <c r="C104" s="49" t="str">
        <f t="shared" si="11"/>
        <v>6.20.80</v>
      </c>
      <c r="D104" s="49" t="s">
        <v>867</v>
      </c>
      <c r="E104" s="36" t="s">
        <v>868</v>
      </c>
      <c r="F104" s="39" t="s">
        <v>869</v>
      </c>
      <c r="G104" s="5">
        <v>0</v>
      </c>
      <c r="H104" s="5">
        <v>0</v>
      </c>
      <c r="I104" s="42">
        <f t="shared" ref="I104:I112" si="12">G104-H104</f>
        <v>0</v>
      </c>
    </row>
    <row r="105" spans="1:9" s="4" customFormat="1" ht="16.5">
      <c r="A105" s="6" t="str">
        <f t="shared" si="10"/>
        <v>6.2</v>
      </c>
      <c r="B105" s="49" t="s">
        <v>781</v>
      </c>
      <c r="C105" s="49" t="str">
        <f t="shared" si="11"/>
        <v>6.20.80</v>
      </c>
      <c r="D105" s="49" t="s">
        <v>867</v>
      </c>
      <c r="E105" s="38" t="s">
        <v>870</v>
      </c>
      <c r="F105" s="56" t="s">
        <v>871</v>
      </c>
      <c r="G105" s="7">
        <v>0</v>
      </c>
      <c r="H105" s="7">
        <v>0</v>
      </c>
      <c r="I105" s="44">
        <f t="shared" si="12"/>
        <v>0</v>
      </c>
    </row>
    <row r="106" spans="1:9" s="4" customFormat="1" ht="16.5">
      <c r="A106" s="6" t="str">
        <f t="shared" si="10"/>
        <v>6.2</v>
      </c>
      <c r="B106" s="49" t="s">
        <v>781</v>
      </c>
      <c r="C106" s="49" t="str">
        <f t="shared" si="11"/>
        <v>6.20.90</v>
      </c>
      <c r="D106" s="49" t="s">
        <v>872</v>
      </c>
      <c r="E106" s="38" t="s">
        <v>873</v>
      </c>
      <c r="F106" s="56" t="s">
        <v>874</v>
      </c>
      <c r="G106" s="7">
        <v>19656381.780000001</v>
      </c>
      <c r="H106" s="7">
        <v>0</v>
      </c>
      <c r="I106" s="44">
        <f t="shared" si="12"/>
        <v>19656381.780000001</v>
      </c>
    </row>
    <row r="107" spans="1:9" s="4" customFormat="1" ht="16.5">
      <c r="A107" s="6" t="str">
        <f t="shared" si="10"/>
        <v>6.2</v>
      </c>
      <c r="B107" s="49" t="s">
        <v>781</v>
      </c>
      <c r="C107" s="49" t="str">
        <f t="shared" si="11"/>
        <v>6.20.10</v>
      </c>
      <c r="D107" s="49" t="s">
        <v>875</v>
      </c>
      <c r="E107" s="15" t="s">
        <v>876</v>
      </c>
      <c r="F107" s="16" t="s">
        <v>770</v>
      </c>
      <c r="G107" s="5">
        <v>0</v>
      </c>
      <c r="H107" s="5">
        <v>0</v>
      </c>
      <c r="I107" s="6">
        <f t="shared" si="12"/>
        <v>0</v>
      </c>
    </row>
    <row r="108" spans="1:9" s="4" customFormat="1" ht="16.5">
      <c r="A108" s="6" t="str">
        <f t="shared" si="10"/>
        <v>6.2</v>
      </c>
      <c r="B108" s="49" t="s">
        <v>781</v>
      </c>
      <c r="C108" s="49" t="str">
        <f t="shared" si="11"/>
        <v>6.20.10</v>
      </c>
      <c r="D108" s="49" t="s">
        <v>875</v>
      </c>
      <c r="E108" s="15" t="s">
        <v>877</v>
      </c>
      <c r="F108" s="16" t="s">
        <v>772</v>
      </c>
      <c r="G108" s="5">
        <v>0</v>
      </c>
      <c r="H108" s="5">
        <v>0</v>
      </c>
      <c r="I108" s="6">
        <f t="shared" si="12"/>
        <v>0</v>
      </c>
    </row>
    <row r="109" spans="1:9" s="4" customFormat="1" ht="16.5">
      <c r="A109" s="6" t="str">
        <f t="shared" si="10"/>
        <v>6.2</v>
      </c>
      <c r="B109" s="49" t="s">
        <v>781</v>
      </c>
      <c r="C109" s="49" t="str">
        <f t="shared" si="11"/>
        <v>6.20.10</v>
      </c>
      <c r="D109" s="49" t="s">
        <v>875</v>
      </c>
      <c r="E109" s="15" t="s">
        <v>878</v>
      </c>
      <c r="F109" s="16" t="s">
        <v>774</v>
      </c>
      <c r="G109" s="5">
        <v>0</v>
      </c>
      <c r="H109" s="5">
        <v>0</v>
      </c>
      <c r="I109" s="6">
        <f t="shared" si="12"/>
        <v>0</v>
      </c>
    </row>
    <row r="110" spans="1:9" s="4" customFormat="1" ht="16.5">
      <c r="A110" s="6" t="str">
        <f t="shared" si="10"/>
        <v>6.2</v>
      </c>
      <c r="B110" s="49" t="s">
        <v>781</v>
      </c>
      <c r="C110" s="49" t="str">
        <f t="shared" si="11"/>
        <v>6.20.10</v>
      </c>
      <c r="D110" s="49" t="s">
        <v>875</v>
      </c>
      <c r="E110" s="15" t="s">
        <v>879</v>
      </c>
      <c r="F110" s="16" t="s">
        <v>880</v>
      </c>
      <c r="G110" s="5">
        <v>0</v>
      </c>
      <c r="H110" s="5">
        <v>0</v>
      </c>
      <c r="I110" s="6">
        <f t="shared" si="12"/>
        <v>0</v>
      </c>
    </row>
    <row r="111" spans="1:9" s="4" customFormat="1" ht="16.5">
      <c r="A111" s="6" t="str">
        <f t="shared" si="10"/>
        <v>6.2</v>
      </c>
      <c r="B111" s="49" t="s">
        <v>781</v>
      </c>
      <c r="C111" s="49" t="str">
        <f t="shared" si="11"/>
        <v>6.20.10</v>
      </c>
      <c r="D111" s="49" t="s">
        <v>875</v>
      </c>
      <c r="E111" s="15" t="s">
        <v>881</v>
      </c>
      <c r="F111" s="16" t="s">
        <v>778</v>
      </c>
      <c r="G111" s="5">
        <v>0</v>
      </c>
      <c r="H111" s="5">
        <v>0</v>
      </c>
      <c r="I111" s="6">
        <f t="shared" si="12"/>
        <v>0</v>
      </c>
    </row>
    <row r="112" spans="1:9" s="4" customFormat="1" ht="17.25" thickBot="1">
      <c r="A112" s="6" t="str">
        <f t="shared" si="10"/>
        <v>6.2</v>
      </c>
      <c r="B112" s="49" t="s">
        <v>781</v>
      </c>
      <c r="C112" s="49" t="str">
        <f t="shared" si="11"/>
        <v>6.20.10</v>
      </c>
      <c r="D112" s="49" t="s">
        <v>875</v>
      </c>
      <c r="E112" s="19" t="s">
        <v>882</v>
      </c>
      <c r="F112" s="20" t="s">
        <v>883</v>
      </c>
      <c r="G112" s="9">
        <v>0</v>
      </c>
      <c r="H112" s="9">
        <v>0</v>
      </c>
      <c r="I112" s="10">
        <f t="shared" si="12"/>
        <v>0</v>
      </c>
    </row>
  </sheetData>
  <sheetProtection selectLockedCells="1"/>
  <autoFilter ref="A1:I112" xr:uid="{5FCCC4E0-1967-4346-965D-4DAEA3ECE232}"/>
  <dataValidations disablePrompts="1" count="2">
    <dataValidation type="custom" showInputMessage="1" showErrorMessage="1" errorTitle="ERRO!" error="Valor tem de ser um número maior ou igual a zero. " promptTitle="Valor em kwanzas" prompt="Insira um valor em kwanzas maior ou igual a zero!" sqref="G2:H112" xr:uid="{89D1A00C-9E89-4E67-B134-DA669D45A2D5}">
      <formula1>AND(ISNUMBER(G2)=TRUE,G2&gt;=0)</formula1>
    </dataValidation>
    <dataValidation type="custom" showInputMessage="1" showErrorMessage="1" sqref="G1:H1" xr:uid="{2E4151D8-D732-4748-8213-C036215F801A}">
      <formula1>G:H&gt;0</formula1>
    </dataValidation>
  </dataValidations>
  <pageMargins left="0.25" right="0.25" top="0.75" bottom="0.75" header="0.3" footer="0.3"/>
  <pageSetup paperSize="9" scale="86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0CCA5-1775-49B8-91B4-3DFEED69E4D5}">
  <sheetPr>
    <pageSetUpPr fitToPage="1"/>
  </sheetPr>
  <dimension ref="A1:J98"/>
  <sheetViews>
    <sheetView zoomScale="77" workbookViewId="0">
      <pane ySplit="1" topLeftCell="D76" activePane="bottomLeft" state="frozen"/>
      <selection pane="bottomLeft" activeCell="D76" sqref="D76"/>
      <selection activeCell="C3" sqref="C3"/>
    </sheetView>
  </sheetViews>
  <sheetFormatPr defaultRowHeight="15"/>
  <cols>
    <col min="1" max="1" width="13.7109375" customWidth="1"/>
    <col min="2" max="2" width="31.7109375" bestFit="1" customWidth="1"/>
    <col min="3" max="3" width="31.7109375" customWidth="1"/>
    <col min="4" max="4" width="59.7109375" customWidth="1"/>
    <col min="5" max="5" width="16.85546875" customWidth="1"/>
    <col min="6" max="6" width="86.28515625" bestFit="1" customWidth="1"/>
    <col min="7" max="7" width="6.7109375" bestFit="1" customWidth="1"/>
    <col min="8" max="8" width="7.5703125" bestFit="1" customWidth="1"/>
    <col min="9" max="9" width="6.140625" bestFit="1" customWidth="1"/>
  </cols>
  <sheetData>
    <row r="1" spans="1:10" s="4" customFormat="1" ht="33.75" thickBot="1">
      <c r="A1" s="87" t="s">
        <v>0</v>
      </c>
      <c r="B1" s="88" t="s">
        <v>1</v>
      </c>
      <c r="C1" s="88" t="s">
        <v>2</v>
      </c>
      <c r="D1" s="88" t="s">
        <v>3</v>
      </c>
      <c r="E1" s="89" t="s">
        <v>4</v>
      </c>
      <c r="F1" s="90" t="s">
        <v>5</v>
      </c>
      <c r="G1" s="3" t="s">
        <v>6</v>
      </c>
      <c r="H1" s="3" t="s">
        <v>7</v>
      </c>
      <c r="I1" s="3" t="s">
        <v>8</v>
      </c>
      <c r="J1" s="152"/>
    </row>
    <row r="2" spans="1:10" s="4" customFormat="1" ht="16.5">
      <c r="A2" s="6" t="str">
        <f>+LEFT(E2,3)</f>
        <v>7.1</v>
      </c>
      <c r="B2" s="49" t="s">
        <v>884</v>
      </c>
      <c r="C2" s="49" t="str">
        <f>+LEFT(E2,7)</f>
        <v>7.10.10</v>
      </c>
      <c r="D2" s="49" t="s">
        <v>885</v>
      </c>
      <c r="E2" s="15" t="s">
        <v>886</v>
      </c>
      <c r="F2" s="16" t="s">
        <v>887</v>
      </c>
      <c r="G2" s="5">
        <v>0</v>
      </c>
      <c r="H2" s="5">
        <v>0</v>
      </c>
      <c r="I2" s="6">
        <f t="shared" ref="I2:I45" si="0">H2-G2</f>
        <v>0</v>
      </c>
    </row>
    <row r="3" spans="1:10" s="4" customFormat="1" ht="16.5">
      <c r="A3" s="6" t="str">
        <f>+LEFT(E3,3)</f>
        <v>7.1</v>
      </c>
      <c r="B3" s="49" t="s">
        <v>884</v>
      </c>
      <c r="C3" s="49" t="str">
        <f t="shared" ref="C3:C47" si="1">+LEFT(E3,7)</f>
        <v>7.10.10</v>
      </c>
      <c r="D3" s="49" t="s">
        <v>885</v>
      </c>
      <c r="E3" s="15" t="s">
        <v>888</v>
      </c>
      <c r="F3" s="16" t="s">
        <v>889</v>
      </c>
      <c r="G3" s="5">
        <v>0</v>
      </c>
      <c r="H3" s="5">
        <v>0</v>
      </c>
      <c r="I3" s="6">
        <f t="shared" si="0"/>
        <v>0</v>
      </c>
    </row>
    <row r="4" spans="1:10" s="4" customFormat="1" ht="16.5">
      <c r="A4" s="6" t="str">
        <f t="shared" ref="A4:A48" si="2">+LEFT(E4,3)</f>
        <v>7.1</v>
      </c>
      <c r="B4" s="49" t="s">
        <v>884</v>
      </c>
      <c r="C4" s="49" t="str">
        <f t="shared" si="1"/>
        <v>7.10.10</v>
      </c>
      <c r="D4" s="49" t="s">
        <v>890</v>
      </c>
      <c r="E4" s="36" t="s">
        <v>891</v>
      </c>
      <c r="F4" s="39" t="s">
        <v>892</v>
      </c>
      <c r="G4" s="5">
        <v>0</v>
      </c>
      <c r="H4" s="5">
        <v>0</v>
      </c>
      <c r="I4" s="42">
        <f t="shared" si="0"/>
        <v>0</v>
      </c>
    </row>
    <row r="5" spans="1:10" s="4" customFormat="1" ht="16.5">
      <c r="A5" s="6" t="str">
        <f t="shared" si="2"/>
        <v>7.1</v>
      </c>
      <c r="B5" s="49" t="s">
        <v>884</v>
      </c>
      <c r="C5" s="49" t="str">
        <f t="shared" si="1"/>
        <v>7.10.10</v>
      </c>
      <c r="D5" s="49" t="s">
        <v>890</v>
      </c>
      <c r="E5" s="36" t="s">
        <v>893</v>
      </c>
      <c r="F5" s="39" t="s">
        <v>894</v>
      </c>
      <c r="G5" s="5">
        <v>0</v>
      </c>
      <c r="H5" s="5">
        <v>0</v>
      </c>
      <c r="I5" s="42">
        <f t="shared" si="0"/>
        <v>0</v>
      </c>
    </row>
    <row r="6" spans="1:10" s="4" customFormat="1" ht="16.5">
      <c r="A6" s="6" t="str">
        <f t="shared" si="2"/>
        <v>7.1</v>
      </c>
      <c r="B6" s="49" t="s">
        <v>884</v>
      </c>
      <c r="C6" s="49" t="str">
        <f t="shared" si="1"/>
        <v>7.10.10</v>
      </c>
      <c r="D6" s="49" t="s">
        <v>890</v>
      </c>
      <c r="E6" s="36" t="s">
        <v>895</v>
      </c>
      <c r="F6" s="39" t="s">
        <v>896</v>
      </c>
      <c r="G6" s="5">
        <v>0</v>
      </c>
      <c r="H6" s="5">
        <v>0</v>
      </c>
      <c r="I6" s="42">
        <f t="shared" si="0"/>
        <v>0</v>
      </c>
    </row>
    <row r="7" spans="1:10" s="4" customFormat="1" ht="16.5">
      <c r="A7" s="6" t="str">
        <f t="shared" si="2"/>
        <v>7.1</v>
      </c>
      <c r="B7" s="49" t="s">
        <v>884</v>
      </c>
      <c r="C7" s="49" t="str">
        <f t="shared" si="1"/>
        <v>7.10.10</v>
      </c>
      <c r="D7" s="49" t="s">
        <v>890</v>
      </c>
      <c r="E7" s="36" t="s">
        <v>897</v>
      </c>
      <c r="F7" s="39" t="s">
        <v>898</v>
      </c>
      <c r="G7" s="5">
        <v>0</v>
      </c>
      <c r="H7" s="5">
        <v>0</v>
      </c>
      <c r="I7" s="42">
        <f t="shared" si="0"/>
        <v>0</v>
      </c>
    </row>
    <row r="8" spans="1:10" s="4" customFormat="1" ht="16.5">
      <c r="A8" s="6" t="str">
        <f t="shared" si="2"/>
        <v>7.1</v>
      </c>
      <c r="B8" s="49" t="s">
        <v>884</v>
      </c>
      <c r="C8" s="49" t="str">
        <f t="shared" si="1"/>
        <v>7.10.10</v>
      </c>
      <c r="D8" s="49" t="s">
        <v>890</v>
      </c>
      <c r="E8" s="36" t="s">
        <v>899</v>
      </c>
      <c r="F8" s="39" t="s">
        <v>900</v>
      </c>
      <c r="G8" s="5">
        <v>0</v>
      </c>
      <c r="H8" s="5">
        <v>0</v>
      </c>
      <c r="I8" s="42">
        <f t="shared" si="0"/>
        <v>0</v>
      </c>
    </row>
    <row r="9" spans="1:10" s="4" customFormat="1" ht="16.5">
      <c r="A9" s="6" t="str">
        <f t="shared" si="2"/>
        <v>7.1</v>
      </c>
      <c r="B9" s="49" t="s">
        <v>884</v>
      </c>
      <c r="C9" s="49" t="str">
        <f t="shared" si="1"/>
        <v>7.10.10</v>
      </c>
      <c r="D9" s="49" t="s">
        <v>890</v>
      </c>
      <c r="E9" s="36" t="s">
        <v>901</v>
      </c>
      <c r="F9" s="39" t="s">
        <v>902</v>
      </c>
      <c r="G9" s="5">
        <v>0</v>
      </c>
      <c r="H9" s="5">
        <v>0</v>
      </c>
      <c r="I9" s="42">
        <f t="shared" si="0"/>
        <v>0</v>
      </c>
    </row>
    <row r="10" spans="1:10" s="4" customFormat="1" ht="16.5">
      <c r="A10" s="6" t="str">
        <f t="shared" si="2"/>
        <v>7.1</v>
      </c>
      <c r="B10" s="49" t="s">
        <v>884</v>
      </c>
      <c r="C10" s="49" t="str">
        <f t="shared" si="1"/>
        <v>7.10.10</v>
      </c>
      <c r="D10" s="49" t="s">
        <v>890</v>
      </c>
      <c r="E10" s="36" t="s">
        <v>903</v>
      </c>
      <c r="F10" s="39" t="s">
        <v>904</v>
      </c>
      <c r="G10" s="5">
        <v>0</v>
      </c>
      <c r="H10" s="5">
        <v>0</v>
      </c>
      <c r="I10" s="42">
        <f t="shared" si="0"/>
        <v>0</v>
      </c>
    </row>
    <row r="11" spans="1:10" s="4" customFormat="1" ht="16.5">
      <c r="A11" s="6" t="str">
        <f t="shared" si="2"/>
        <v>7.1</v>
      </c>
      <c r="B11" s="49" t="s">
        <v>884</v>
      </c>
      <c r="C11" s="49" t="str">
        <f t="shared" si="1"/>
        <v>7.10.10</v>
      </c>
      <c r="D11" s="49" t="s">
        <v>890</v>
      </c>
      <c r="E11" s="36" t="s">
        <v>905</v>
      </c>
      <c r="F11" s="39" t="s">
        <v>906</v>
      </c>
      <c r="G11" s="5">
        <v>0</v>
      </c>
      <c r="H11" s="5">
        <v>0</v>
      </c>
      <c r="I11" s="42">
        <f t="shared" si="0"/>
        <v>0</v>
      </c>
    </row>
    <row r="12" spans="1:10" s="4" customFormat="1" ht="16.5">
      <c r="A12" s="6" t="str">
        <f t="shared" si="2"/>
        <v>7.1</v>
      </c>
      <c r="B12" s="49" t="s">
        <v>884</v>
      </c>
      <c r="C12" s="49" t="str">
        <f t="shared" si="1"/>
        <v>7.10.10</v>
      </c>
      <c r="D12" s="49" t="s">
        <v>890</v>
      </c>
      <c r="E12" s="73" t="s">
        <v>907</v>
      </c>
      <c r="F12" s="74" t="s">
        <v>908</v>
      </c>
      <c r="G12" s="64">
        <v>0</v>
      </c>
      <c r="H12" s="64">
        <v>0</v>
      </c>
      <c r="I12" s="65">
        <f t="shared" si="0"/>
        <v>0</v>
      </c>
    </row>
    <row r="13" spans="1:10" s="4" customFormat="1" ht="16.5">
      <c r="A13" s="6" t="str">
        <f t="shared" si="2"/>
        <v>7.1</v>
      </c>
      <c r="B13" s="49" t="s">
        <v>884</v>
      </c>
      <c r="C13" s="49" t="str">
        <f t="shared" si="1"/>
        <v>7.10.10</v>
      </c>
      <c r="D13" s="49" t="s">
        <v>909</v>
      </c>
      <c r="E13" s="36" t="s">
        <v>910</v>
      </c>
      <c r="F13" s="39" t="s">
        <v>911</v>
      </c>
      <c r="G13" s="5">
        <v>0</v>
      </c>
      <c r="H13" s="5">
        <v>0</v>
      </c>
      <c r="I13" s="42">
        <f t="shared" si="0"/>
        <v>0</v>
      </c>
    </row>
    <row r="14" spans="1:10" s="4" customFormat="1" ht="16.5">
      <c r="A14" s="6" t="str">
        <f t="shared" si="2"/>
        <v>7.1</v>
      </c>
      <c r="B14" s="49" t="s">
        <v>884</v>
      </c>
      <c r="C14" s="49" t="str">
        <f t="shared" si="1"/>
        <v>7.10.10</v>
      </c>
      <c r="D14" s="49" t="s">
        <v>909</v>
      </c>
      <c r="E14" s="36" t="s">
        <v>912</v>
      </c>
      <c r="F14" s="39" t="s">
        <v>913</v>
      </c>
      <c r="G14" s="5">
        <v>0</v>
      </c>
      <c r="H14" s="5">
        <v>0</v>
      </c>
      <c r="I14" s="42">
        <f t="shared" si="0"/>
        <v>0</v>
      </c>
    </row>
    <row r="15" spans="1:10" s="4" customFormat="1" ht="16.5">
      <c r="A15" s="6" t="str">
        <f t="shared" si="2"/>
        <v>7.1</v>
      </c>
      <c r="B15" s="49" t="s">
        <v>884</v>
      </c>
      <c r="C15" s="49" t="str">
        <f t="shared" si="1"/>
        <v>7.10.10</v>
      </c>
      <c r="D15" s="49" t="s">
        <v>909</v>
      </c>
      <c r="E15" s="36" t="s">
        <v>914</v>
      </c>
      <c r="F15" s="39" t="s">
        <v>915</v>
      </c>
      <c r="G15" s="5">
        <v>0</v>
      </c>
      <c r="H15" s="5">
        <v>0</v>
      </c>
      <c r="I15" s="42">
        <f t="shared" si="0"/>
        <v>0</v>
      </c>
    </row>
    <row r="16" spans="1:10" s="4" customFormat="1" ht="16.5">
      <c r="A16" s="6" t="str">
        <f t="shared" si="2"/>
        <v>7.1</v>
      </c>
      <c r="B16" s="49" t="s">
        <v>884</v>
      </c>
      <c r="C16" s="49" t="str">
        <f t="shared" si="1"/>
        <v>7.10.10</v>
      </c>
      <c r="D16" s="49" t="s">
        <v>909</v>
      </c>
      <c r="E16" s="36" t="s">
        <v>916</v>
      </c>
      <c r="F16" s="39" t="s">
        <v>917</v>
      </c>
      <c r="G16" s="5">
        <v>0</v>
      </c>
      <c r="H16" s="5">
        <v>0</v>
      </c>
      <c r="I16" s="42">
        <f t="shared" si="0"/>
        <v>0</v>
      </c>
    </row>
    <row r="17" spans="1:9" s="4" customFormat="1" ht="16.5">
      <c r="A17" s="6" t="str">
        <f t="shared" si="2"/>
        <v>7.1</v>
      </c>
      <c r="B17" s="49" t="s">
        <v>884</v>
      </c>
      <c r="C17" s="49" t="str">
        <f t="shared" si="1"/>
        <v>7.10.10</v>
      </c>
      <c r="D17" s="49" t="s">
        <v>909</v>
      </c>
      <c r="E17" s="36" t="s">
        <v>918</v>
      </c>
      <c r="F17" s="39" t="s">
        <v>919</v>
      </c>
      <c r="G17" s="5">
        <v>0</v>
      </c>
      <c r="H17" s="5">
        <v>0</v>
      </c>
      <c r="I17" s="42">
        <f t="shared" si="0"/>
        <v>0</v>
      </c>
    </row>
    <row r="18" spans="1:9" s="4" customFormat="1" ht="16.5">
      <c r="A18" s="6" t="str">
        <f t="shared" si="2"/>
        <v>7.1</v>
      </c>
      <c r="B18" s="49" t="s">
        <v>884</v>
      </c>
      <c r="C18" s="49" t="str">
        <f t="shared" si="1"/>
        <v>7.10.10</v>
      </c>
      <c r="D18" s="49" t="s">
        <v>909</v>
      </c>
      <c r="E18" s="73" t="s">
        <v>920</v>
      </c>
      <c r="F18" s="74" t="s">
        <v>921</v>
      </c>
      <c r="G18" s="64">
        <v>0</v>
      </c>
      <c r="H18" s="64">
        <v>0</v>
      </c>
      <c r="I18" s="65">
        <f t="shared" si="0"/>
        <v>0</v>
      </c>
    </row>
    <row r="19" spans="1:9" s="4" customFormat="1" ht="16.5">
      <c r="A19" s="6" t="str">
        <f t="shared" si="2"/>
        <v>7.1</v>
      </c>
      <c r="B19" s="49" t="s">
        <v>884</v>
      </c>
      <c r="C19" s="49" t="str">
        <f t="shared" si="1"/>
        <v>7.10.10</v>
      </c>
      <c r="D19" s="49" t="s">
        <v>922</v>
      </c>
      <c r="E19" s="36" t="s">
        <v>923</v>
      </c>
      <c r="F19" s="39" t="s">
        <v>924</v>
      </c>
      <c r="G19" s="5">
        <v>0</v>
      </c>
      <c r="H19" s="5">
        <v>0</v>
      </c>
      <c r="I19" s="42">
        <f t="shared" si="0"/>
        <v>0</v>
      </c>
    </row>
    <row r="20" spans="1:9" s="4" customFormat="1" ht="16.5">
      <c r="A20" s="6" t="str">
        <f t="shared" si="2"/>
        <v>7.1</v>
      </c>
      <c r="B20" s="49" t="s">
        <v>884</v>
      </c>
      <c r="C20" s="49" t="str">
        <f t="shared" si="1"/>
        <v>7.10.10</v>
      </c>
      <c r="D20" s="49" t="s">
        <v>925</v>
      </c>
      <c r="E20" s="75" t="s">
        <v>926</v>
      </c>
      <c r="F20" s="40" t="s">
        <v>927</v>
      </c>
      <c r="G20" s="5">
        <v>0</v>
      </c>
      <c r="H20" s="5">
        <v>0</v>
      </c>
      <c r="I20" s="66">
        <f t="shared" si="0"/>
        <v>0</v>
      </c>
    </row>
    <row r="21" spans="1:9" s="4" customFormat="1" ht="16.5">
      <c r="A21" s="6" t="str">
        <f t="shared" si="2"/>
        <v>7.1</v>
      </c>
      <c r="B21" s="49" t="s">
        <v>884</v>
      </c>
      <c r="C21" s="49" t="str">
        <f t="shared" si="1"/>
        <v>7.10.10</v>
      </c>
      <c r="D21" s="49" t="s">
        <v>925</v>
      </c>
      <c r="E21" s="146" t="s">
        <v>928</v>
      </c>
      <c r="F21" s="147" t="s">
        <v>929</v>
      </c>
      <c r="G21" s="29">
        <v>0</v>
      </c>
      <c r="H21" s="29">
        <v>0</v>
      </c>
      <c r="I21" s="148">
        <f t="shared" si="0"/>
        <v>0</v>
      </c>
    </row>
    <row r="22" spans="1:9" s="4" customFormat="1" ht="16.5">
      <c r="A22" s="6" t="str">
        <f t="shared" si="2"/>
        <v>7.1</v>
      </c>
      <c r="B22" s="49" t="s">
        <v>884</v>
      </c>
      <c r="C22" s="49" t="str">
        <f t="shared" si="1"/>
        <v>7.10.10</v>
      </c>
      <c r="D22" s="49" t="s">
        <v>922</v>
      </c>
      <c r="E22" s="73" t="s">
        <v>930</v>
      </c>
      <c r="F22" s="74" t="s">
        <v>931</v>
      </c>
      <c r="G22" s="149">
        <v>0</v>
      </c>
      <c r="H22" s="149">
        <v>0</v>
      </c>
      <c r="I22" s="65">
        <f t="shared" si="0"/>
        <v>0</v>
      </c>
    </row>
    <row r="23" spans="1:9" s="4" customFormat="1" ht="16.5">
      <c r="A23" s="6" t="str">
        <f t="shared" si="2"/>
        <v>7.1</v>
      </c>
      <c r="B23" s="49" t="s">
        <v>884</v>
      </c>
      <c r="C23" s="49" t="str">
        <f t="shared" si="1"/>
        <v>7.10.10</v>
      </c>
      <c r="D23" s="49" t="s">
        <v>932</v>
      </c>
      <c r="E23" s="73" t="s">
        <v>933</v>
      </c>
      <c r="F23" s="74" t="s">
        <v>934</v>
      </c>
      <c r="G23" s="64">
        <v>0</v>
      </c>
      <c r="H23" s="64">
        <v>0</v>
      </c>
      <c r="I23" s="65">
        <f t="shared" si="0"/>
        <v>0</v>
      </c>
    </row>
    <row r="24" spans="1:9" s="4" customFormat="1" ht="16.5">
      <c r="A24" s="6" t="str">
        <f t="shared" si="2"/>
        <v>7.1</v>
      </c>
      <c r="B24" s="49" t="s">
        <v>884</v>
      </c>
      <c r="C24" s="49" t="str">
        <f t="shared" si="1"/>
        <v>7.10.10</v>
      </c>
      <c r="D24" s="49" t="s">
        <v>935</v>
      </c>
      <c r="E24" s="36" t="s">
        <v>936</v>
      </c>
      <c r="F24" s="39" t="s">
        <v>937</v>
      </c>
      <c r="G24" s="5">
        <v>0</v>
      </c>
      <c r="H24" s="5">
        <v>0</v>
      </c>
      <c r="I24" s="42">
        <f t="shared" si="0"/>
        <v>0</v>
      </c>
    </row>
    <row r="25" spans="1:9" s="4" customFormat="1" ht="16.5">
      <c r="A25" s="6" t="str">
        <f t="shared" si="2"/>
        <v>7.1</v>
      </c>
      <c r="B25" s="49" t="s">
        <v>884</v>
      </c>
      <c r="C25" s="49" t="str">
        <f t="shared" si="1"/>
        <v>7.10.10</v>
      </c>
      <c r="D25" s="49" t="s">
        <v>935</v>
      </c>
      <c r="E25" s="36" t="s">
        <v>938</v>
      </c>
      <c r="F25" s="39" t="s">
        <v>939</v>
      </c>
      <c r="G25" s="5">
        <v>0</v>
      </c>
      <c r="H25" s="5">
        <v>0</v>
      </c>
      <c r="I25" s="42">
        <f t="shared" si="0"/>
        <v>0</v>
      </c>
    </row>
    <row r="26" spans="1:9" s="4" customFormat="1" ht="16.5">
      <c r="A26" s="6" t="str">
        <f t="shared" si="2"/>
        <v>7.1</v>
      </c>
      <c r="B26" s="49" t="s">
        <v>884</v>
      </c>
      <c r="C26" s="49" t="str">
        <f t="shared" si="1"/>
        <v>7.10.10</v>
      </c>
      <c r="D26" s="49" t="s">
        <v>935</v>
      </c>
      <c r="E26" s="73" t="s">
        <v>940</v>
      </c>
      <c r="F26" s="74" t="s">
        <v>941</v>
      </c>
      <c r="G26" s="64">
        <v>0</v>
      </c>
      <c r="H26" s="64">
        <v>0</v>
      </c>
      <c r="I26" s="65">
        <f t="shared" si="0"/>
        <v>0</v>
      </c>
    </row>
    <row r="27" spans="1:9" s="4" customFormat="1" ht="16.5">
      <c r="A27" s="6" t="str">
        <f t="shared" si="2"/>
        <v>7.1</v>
      </c>
      <c r="B27" s="49" t="s">
        <v>884</v>
      </c>
      <c r="C27" s="49" t="str">
        <f t="shared" si="1"/>
        <v>7.10.10</v>
      </c>
      <c r="D27" s="49" t="s">
        <v>885</v>
      </c>
      <c r="E27" s="38" t="s">
        <v>942</v>
      </c>
      <c r="F27" s="56" t="s">
        <v>943</v>
      </c>
      <c r="G27" s="7">
        <v>0</v>
      </c>
      <c r="H27" s="7">
        <v>0</v>
      </c>
      <c r="I27" s="44">
        <f t="shared" si="0"/>
        <v>0</v>
      </c>
    </row>
    <row r="28" spans="1:9" s="4" customFormat="1" ht="16.5">
      <c r="A28" s="6" t="str">
        <f t="shared" si="2"/>
        <v>7.1</v>
      </c>
      <c r="B28" s="49" t="s">
        <v>884</v>
      </c>
      <c r="C28" s="49" t="str">
        <f t="shared" si="1"/>
        <v>7.10.20</v>
      </c>
      <c r="D28" s="49" t="s">
        <v>944</v>
      </c>
      <c r="E28" s="15" t="s">
        <v>945</v>
      </c>
      <c r="F28" s="16" t="s">
        <v>946</v>
      </c>
      <c r="G28" s="5">
        <v>0</v>
      </c>
      <c r="H28" s="5">
        <v>0</v>
      </c>
      <c r="I28" s="6">
        <f t="shared" si="0"/>
        <v>0</v>
      </c>
    </row>
    <row r="29" spans="1:9" s="4" customFormat="1" ht="16.5">
      <c r="A29" s="6" t="str">
        <f t="shared" si="2"/>
        <v>7.1</v>
      </c>
      <c r="B29" s="49" t="s">
        <v>884</v>
      </c>
      <c r="C29" s="49" t="str">
        <f t="shared" si="1"/>
        <v>7.10.30</v>
      </c>
      <c r="D29" s="49" t="s">
        <v>947</v>
      </c>
      <c r="E29" s="15" t="s">
        <v>948</v>
      </c>
      <c r="F29" s="16" t="s">
        <v>949</v>
      </c>
      <c r="G29" s="5">
        <v>0</v>
      </c>
      <c r="H29" s="5">
        <v>0</v>
      </c>
      <c r="I29" s="6">
        <f t="shared" si="0"/>
        <v>0</v>
      </c>
    </row>
    <row r="30" spans="1:9" s="4" customFormat="1" ht="16.5">
      <c r="A30" s="6" t="str">
        <f t="shared" si="2"/>
        <v>7.1</v>
      </c>
      <c r="B30" s="49" t="s">
        <v>884</v>
      </c>
      <c r="C30" s="49" t="str">
        <f t="shared" si="1"/>
        <v>7.10.30</v>
      </c>
      <c r="D30" s="49" t="s">
        <v>947</v>
      </c>
      <c r="E30" s="17" t="s">
        <v>950</v>
      </c>
      <c r="F30" s="18" t="s">
        <v>951</v>
      </c>
      <c r="G30" s="7">
        <v>0</v>
      </c>
      <c r="H30" s="7">
        <v>0</v>
      </c>
      <c r="I30" s="8">
        <f t="shared" si="0"/>
        <v>0</v>
      </c>
    </row>
    <row r="31" spans="1:9" s="4" customFormat="1" ht="16.5">
      <c r="A31" s="6" t="str">
        <f t="shared" si="2"/>
        <v>7.1</v>
      </c>
      <c r="B31" s="49" t="s">
        <v>884</v>
      </c>
      <c r="C31" s="49" t="str">
        <f t="shared" si="1"/>
        <v>7.10.40</v>
      </c>
      <c r="D31" s="49" t="s">
        <v>952</v>
      </c>
      <c r="E31" s="15" t="s">
        <v>953</v>
      </c>
      <c r="F31" s="16" t="s">
        <v>954</v>
      </c>
      <c r="G31" s="5">
        <v>0</v>
      </c>
      <c r="H31" s="5">
        <v>0</v>
      </c>
      <c r="I31" s="6">
        <f t="shared" si="0"/>
        <v>0</v>
      </c>
    </row>
    <row r="32" spans="1:9" s="4" customFormat="1" ht="16.5">
      <c r="A32" s="6" t="str">
        <f t="shared" si="2"/>
        <v>7.1</v>
      </c>
      <c r="B32" s="49" t="s">
        <v>884</v>
      </c>
      <c r="C32" s="49" t="str">
        <f t="shared" si="1"/>
        <v>7.10.40</v>
      </c>
      <c r="D32" s="49" t="s">
        <v>952</v>
      </c>
      <c r="E32" s="17" t="s">
        <v>955</v>
      </c>
      <c r="F32" s="18" t="s">
        <v>956</v>
      </c>
      <c r="G32" s="7">
        <v>0</v>
      </c>
      <c r="H32" s="7">
        <v>0</v>
      </c>
      <c r="I32" s="8">
        <f t="shared" si="0"/>
        <v>0</v>
      </c>
    </row>
    <row r="33" spans="1:9" s="4" customFormat="1" ht="16.5">
      <c r="A33" s="6" t="str">
        <f t="shared" si="2"/>
        <v>7.1</v>
      </c>
      <c r="B33" s="49" t="s">
        <v>884</v>
      </c>
      <c r="C33" s="49" t="str">
        <f t="shared" si="1"/>
        <v>7.10.50</v>
      </c>
      <c r="D33" s="49" t="s">
        <v>957</v>
      </c>
      <c r="E33" s="15" t="s">
        <v>958</v>
      </c>
      <c r="F33" s="16" t="s">
        <v>959</v>
      </c>
      <c r="G33" s="5">
        <v>0</v>
      </c>
      <c r="H33" s="5">
        <v>0</v>
      </c>
      <c r="I33" s="6">
        <f t="shared" si="0"/>
        <v>0</v>
      </c>
    </row>
    <row r="34" spans="1:9" s="4" customFormat="1" ht="16.5">
      <c r="A34" s="6" t="str">
        <f t="shared" si="2"/>
        <v>7.1</v>
      </c>
      <c r="B34" s="49" t="s">
        <v>884</v>
      </c>
      <c r="C34" s="49" t="str">
        <f t="shared" si="1"/>
        <v>7.10.50</v>
      </c>
      <c r="D34" s="49" t="s">
        <v>957</v>
      </c>
      <c r="E34" s="17" t="s">
        <v>960</v>
      </c>
      <c r="F34" s="18" t="s">
        <v>961</v>
      </c>
      <c r="G34" s="7">
        <v>0</v>
      </c>
      <c r="H34" s="7">
        <v>0</v>
      </c>
      <c r="I34" s="8">
        <f t="shared" si="0"/>
        <v>0</v>
      </c>
    </row>
    <row r="35" spans="1:9" s="4" customFormat="1" ht="16.5">
      <c r="A35" s="6" t="str">
        <f t="shared" si="2"/>
        <v>7.1</v>
      </c>
      <c r="B35" s="49" t="s">
        <v>884</v>
      </c>
      <c r="C35" s="49" t="str">
        <f t="shared" si="1"/>
        <v>7.10.60</v>
      </c>
      <c r="D35" s="49" t="s">
        <v>962</v>
      </c>
      <c r="E35" s="15" t="s">
        <v>963</v>
      </c>
      <c r="F35" s="16" t="s">
        <v>964</v>
      </c>
      <c r="G35" s="5">
        <v>0</v>
      </c>
      <c r="H35" s="5">
        <v>0</v>
      </c>
      <c r="I35" s="6">
        <f t="shared" si="0"/>
        <v>0</v>
      </c>
    </row>
    <row r="36" spans="1:9" s="4" customFormat="1" ht="16.5">
      <c r="A36" s="6" t="str">
        <f t="shared" si="2"/>
        <v>7.1</v>
      </c>
      <c r="B36" s="49" t="s">
        <v>884</v>
      </c>
      <c r="C36" s="49" t="str">
        <f t="shared" si="1"/>
        <v>7.10.60</v>
      </c>
      <c r="D36" s="49" t="s">
        <v>962</v>
      </c>
      <c r="E36" s="15" t="s">
        <v>965</v>
      </c>
      <c r="F36" s="16" t="s">
        <v>966</v>
      </c>
      <c r="G36" s="5">
        <v>0</v>
      </c>
      <c r="H36" s="5">
        <v>0</v>
      </c>
      <c r="I36" s="6">
        <f t="shared" si="0"/>
        <v>0</v>
      </c>
    </row>
    <row r="37" spans="1:9" s="4" customFormat="1" ht="16.5">
      <c r="A37" s="6" t="str">
        <f t="shared" si="2"/>
        <v>7.1</v>
      </c>
      <c r="B37" s="49" t="s">
        <v>884</v>
      </c>
      <c r="C37" s="49" t="str">
        <f t="shared" si="1"/>
        <v>7.10.70</v>
      </c>
      <c r="D37" s="49" t="s">
        <v>967</v>
      </c>
      <c r="E37" s="36" t="s">
        <v>968</v>
      </c>
      <c r="F37" s="39" t="s">
        <v>969</v>
      </c>
      <c r="G37" s="5">
        <v>0</v>
      </c>
      <c r="H37" s="5">
        <v>0</v>
      </c>
      <c r="I37" s="42">
        <f t="shared" si="0"/>
        <v>0</v>
      </c>
    </row>
    <row r="38" spans="1:9" s="4" customFormat="1" ht="16.5">
      <c r="A38" s="6" t="str">
        <f t="shared" si="2"/>
        <v>7.1</v>
      </c>
      <c r="B38" s="49" t="s">
        <v>884</v>
      </c>
      <c r="C38" s="49" t="str">
        <f t="shared" si="1"/>
        <v>7.10.70</v>
      </c>
      <c r="D38" s="49" t="s">
        <v>967</v>
      </c>
      <c r="E38" s="36" t="s">
        <v>970</v>
      </c>
      <c r="F38" s="39" t="s">
        <v>971</v>
      </c>
      <c r="G38" s="5">
        <v>0</v>
      </c>
      <c r="H38" s="5">
        <v>0</v>
      </c>
      <c r="I38" s="42">
        <f t="shared" si="0"/>
        <v>0</v>
      </c>
    </row>
    <row r="39" spans="1:9" s="4" customFormat="1" ht="16.5">
      <c r="A39" s="6" t="str">
        <f t="shared" si="2"/>
        <v>7.1</v>
      </c>
      <c r="B39" s="49" t="s">
        <v>884</v>
      </c>
      <c r="C39" s="49" t="str">
        <f t="shared" si="1"/>
        <v>7.10.70</v>
      </c>
      <c r="D39" s="49" t="s">
        <v>967</v>
      </c>
      <c r="E39" s="36" t="s">
        <v>972</v>
      </c>
      <c r="F39" s="39" t="s">
        <v>973</v>
      </c>
      <c r="G39" s="5">
        <v>0</v>
      </c>
      <c r="H39" s="5">
        <v>0</v>
      </c>
      <c r="I39" s="42">
        <f t="shared" si="0"/>
        <v>0</v>
      </c>
    </row>
    <row r="40" spans="1:9" s="4" customFormat="1" ht="16.5">
      <c r="A40" s="6" t="str">
        <f t="shared" si="2"/>
        <v>7.1</v>
      </c>
      <c r="B40" s="49" t="s">
        <v>884</v>
      </c>
      <c r="C40" s="49" t="str">
        <f t="shared" si="1"/>
        <v>7.10.70</v>
      </c>
      <c r="D40" s="49" t="s">
        <v>967</v>
      </c>
      <c r="E40" s="73" t="s">
        <v>974</v>
      </c>
      <c r="F40" s="74" t="s">
        <v>931</v>
      </c>
      <c r="G40" s="64">
        <v>0</v>
      </c>
      <c r="H40" s="64">
        <v>0</v>
      </c>
      <c r="I40" s="65">
        <f t="shared" si="0"/>
        <v>0</v>
      </c>
    </row>
    <row r="41" spans="1:9" s="4" customFormat="1" ht="16.5">
      <c r="A41" s="6" t="str">
        <f t="shared" si="2"/>
        <v>7.1</v>
      </c>
      <c r="B41" s="49" t="s">
        <v>884</v>
      </c>
      <c r="C41" s="49" t="str">
        <f t="shared" si="1"/>
        <v>7.10.70</v>
      </c>
      <c r="D41" s="49" t="s">
        <v>975</v>
      </c>
      <c r="E41" s="73" t="s">
        <v>976</v>
      </c>
      <c r="F41" s="74" t="s">
        <v>977</v>
      </c>
      <c r="G41" s="64">
        <v>0</v>
      </c>
      <c r="H41" s="64">
        <v>0</v>
      </c>
      <c r="I41" s="65">
        <f t="shared" si="0"/>
        <v>0</v>
      </c>
    </row>
    <row r="42" spans="1:9" s="4" customFormat="1" ht="16.5">
      <c r="A42" s="6" t="str">
        <f t="shared" si="2"/>
        <v>7.1</v>
      </c>
      <c r="B42" s="49" t="s">
        <v>884</v>
      </c>
      <c r="C42" s="49" t="str">
        <f t="shared" si="1"/>
        <v>7.10.70</v>
      </c>
      <c r="D42" s="49" t="s">
        <v>978</v>
      </c>
      <c r="E42" s="36" t="s">
        <v>979</v>
      </c>
      <c r="F42" s="39" t="s">
        <v>980</v>
      </c>
      <c r="G42" s="5">
        <v>0</v>
      </c>
      <c r="H42" s="5">
        <v>0</v>
      </c>
      <c r="I42" s="42">
        <f t="shared" si="0"/>
        <v>0</v>
      </c>
    </row>
    <row r="43" spans="1:9" s="4" customFormat="1" ht="16.5">
      <c r="A43" s="6" t="str">
        <f t="shared" si="2"/>
        <v>7.1</v>
      </c>
      <c r="B43" s="49" t="s">
        <v>884</v>
      </c>
      <c r="C43" s="49" t="str">
        <f t="shared" si="1"/>
        <v>7.10.70</v>
      </c>
      <c r="D43" s="49" t="s">
        <v>978</v>
      </c>
      <c r="E43" s="38" t="s">
        <v>981</v>
      </c>
      <c r="F43" s="56" t="s">
        <v>982</v>
      </c>
      <c r="G43" s="7">
        <v>0</v>
      </c>
      <c r="H43" s="7">
        <v>0</v>
      </c>
      <c r="I43" s="44">
        <f t="shared" si="0"/>
        <v>0</v>
      </c>
    </row>
    <row r="44" spans="1:9" s="4" customFormat="1" ht="16.5">
      <c r="A44" s="6" t="str">
        <f t="shared" si="2"/>
        <v>7.1</v>
      </c>
      <c r="B44" s="49" t="s">
        <v>884</v>
      </c>
      <c r="C44" s="49" t="str">
        <f t="shared" si="1"/>
        <v>7.10.80</v>
      </c>
      <c r="D44" s="49" t="s">
        <v>983</v>
      </c>
      <c r="E44" s="15" t="s">
        <v>984</v>
      </c>
      <c r="F44" s="16" t="s">
        <v>985</v>
      </c>
      <c r="G44" s="5">
        <v>0</v>
      </c>
      <c r="H44" s="5">
        <v>0</v>
      </c>
      <c r="I44" s="6">
        <f t="shared" si="0"/>
        <v>0</v>
      </c>
    </row>
    <row r="45" spans="1:9" s="4" customFormat="1" ht="16.5">
      <c r="A45" s="6" t="str">
        <f t="shared" si="2"/>
        <v>7.1</v>
      </c>
      <c r="B45" s="49" t="s">
        <v>884</v>
      </c>
      <c r="C45" s="49" t="str">
        <f t="shared" si="1"/>
        <v>7.10.80</v>
      </c>
      <c r="D45" s="49" t="s">
        <v>983</v>
      </c>
      <c r="E45" s="15" t="s">
        <v>986</v>
      </c>
      <c r="F45" s="16" t="s">
        <v>987</v>
      </c>
      <c r="G45" s="5">
        <v>0</v>
      </c>
      <c r="H45" s="5">
        <v>0</v>
      </c>
      <c r="I45" s="6">
        <f t="shared" si="0"/>
        <v>0</v>
      </c>
    </row>
    <row r="46" spans="1:9" s="4" customFormat="1" ht="16.5">
      <c r="A46" s="6" t="str">
        <f t="shared" si="2"/>
        <v>7.2</v>
      </c>
      <c r="B46" s="49" t="s">
        <v>988</v>
      </c>
      <c r="C46" s="49" t="str">
        <f t="shared" si="1"/>
        <v>7.20.10</v>
      </c>
      <c r="D46" s="49" t="s">
        <v>989</v>
      </c>
      <c r="E46" s="15" t="s">
        <v>990</v>
      </c>
      <c r="F46" s="16" t="s">
        <v>991</v>
      </c>
      <c r="G46" s="5">
        <v>0</v>
      </c>
      <c r="H46" s="5">
        <v>0</v>
      </c>
      <c r="I46" s="6">
        <f t="shared" ref="I46:I92" si="3">G46-H46</f>
        <v>0</v>
      </c>
    </row>
    <row r="47" spans="1:9" s="4" customFormat="1" ht="16.5">
      <c r="A47" s="6" t="str">
        <f t="shared" si="2"/>
        <v>7.2</v>
      </c>
      <c r="B47" s="49" t="s">
        <v>988</v>
      </c>
      <c r="C47" s="49" t="str">
        <f t="shared" si="1"/>
        <v>7.20.10</v>
      </c>
      <c r="D47" s="49" t="s">
        <v>989</v>
      </c>
      <c r="E47" s="15" t="s">
        <v>992</v>
      </c>
      <c r="F47" s="16" t="s">
        <v>993</v>
      </c>
      <c r="G47" s="5">
        <v>0</v>
      </c>
      <c r="H47" s="5">
        <v>0</v>
      </c>
      <c r="I47" s="6">
        <f t="shared" si="3"/>
        <v>0</v>
      </c>
    </row>
    <row r="48" spans="1:9" s="4" customFormat="1" ht="16.5">
      <c r="A48" s="6" t="str">
        <f t="shared" si="2"/>
        <v>7.2</v>
      </c>
      <c r="B48" s="49" t="s">
        <v>988</v>
      </c>
      <c r="C48" s="49" t="str">
        <f t="shared" ref="C48:C93" si="4">+LEFT(E48,7)</f>
        <v>7.20.10</v>
      </c>
      <c r="D48" s="49" t="s">
        <v>994</v>
      </c>
      <c r="E48" s="36" t="s">
        <v>995</v>
      </c>
      <c r="F48" s="39" t="s">
        <v>996</v>
      </c>
      <c r="G48" s="5">
        <v>0</v>
      </c>
      <c r="H48" s="5">
        <v>0</v>
      </c>
      <c r="I48" s="42">
        <f t="shared" si="3"/>
        <v>0</v>
      </c>
    </row>
    <row r="49" spans="1:9" s="4" customFormat="1" ht="16.5">
      <c r="A49" s="6" t="str">
        <f t="shared" ref="A49:A94" si="5">+LEFT(E49,3)</f>
        <v>7.2</v>
      </c>
      <c r="B49" s="49" t="s">
        <v>988</v>
      </c>
      <c r="C49" s="49" t="str">
        <f t="shared" si="4"/>
        <v>7.20.10</v>
      </c>
      <c r="D49" s="49" t="s">
        <v>994</v>
      </c>
      <c r="E49" s="36" t="s">
        <v>997</v>
      </c>
      <c r="F49" s="39" t="s">
        <v>998</v>
      </c>
      <c r="G49" s="5">
        <v>0</v>
      </c>
      <c r="H49" s="5">
        <v>0</v>
      </c>
      <c r="I49" s="42">
        <f t="shared" si="3"/>
        <v>0</v>
      </c>
    </row>
    <row r="50" spans="1:9" s="4" customFormat="1" ht="16.5">
      <c r="A50" s="6" t="str">
        <f t="shared" si="5"/>
        <v>7.2</v>
      </c>
      <c r="B50" s="49" t="s">
        <v>988</v>
      </c>
      <c r="C50" s="49" t="str">
        <f t="shared" si="4"/>
        <v>7.20.10</v>
      </c>
      <c r="D50" s="49" t="s">
        <v>994</v>
      </c>
      <c r="E50" s="36" t="s">
        <v>999</v>
      </c>
      <c r="F50" s="39" t="s">
        <v>1000</v>
      </c>
      <c r="G50" s="5">
        <v>0</v>
      </c>
      <c r="H50" s="5">
        <v>0</v>
      </c>
      <c r="I50" s="42">
        <f t="shared" si="3"/>
        <v>0</v>
      </c>
    </row>
    <row r="51" spans="1:9" s="4" customFormat="1" ht="16.5">
      <c r="A51" s="6" t="str">
        <f t="shared" si="5"/>
        <v>7.2</v>
      </c>
      <c r="B51" s="49" t="s">
        <v>988</v>
      </c>
      <c r="C51" s="49" t="str">
        <f t="shared" si="4"/>
        <v>7.20.10</v>
      </c>
      <c r="D51" s="49" t="s">
        <v>994</v>
      </c>
      <c r="E51" s="36" t="s">
        <v>1001</v>
      </c>
      <c r="F51" s="39" t="s">
        <v>1002</v>
      </c>
      <c r="G51" s="5">
        <v>0</v>
      </c>
      <c r="H51" s="5">
        <v>0</v>
      </c>
      <c r="I51" s="42">
        <f t="shared" si="3"/>
        <v>0</v>
      </c>
    </row>
    <row r="52" spans="1:9" s="4" customFormat="1" ht="16.5">
      <c r="A52" s="6" t="str">
        <f t="shared" si="5"/>
        <v>7.2</v>
      </c>
      <c r="B52" s="49" t="s">
        <v>988</v>
      </c>
      <c r="C52" s="49" t="str">
        <f t="shared" si="4"/>
        <v>7.20.10</v>
      </c>
      <c r="D52" s="49" t="s">
        <v>994</v>
      </c>
      <c r="E52" s="36" t="s">
        <v>1003</v>
      </c>
      <c r="F52" s="39" t="s">
        <v>1004</v>
      </c>
      <c r="G52" s="5">
        <v>0</v>
      </c>
      <c r="H52" s="5">
        <v>0</v>
      </c>
      <c r="I52" s="42">
        <f t="shared" si="3"/>
        <v>0</v>
      </c>
    </row>
    <row r="53" spans="1:9" s="4" customFormat="1" ht="16.5">
      <c r="A53" s="6" t="str">
        <f t="shared" si="5"/>
        <v>7.2</v>
      </c>
      <c r="B53" s="49" t="s">
        <v>988</v>
      </c>
      <c r="C53" s="49" t="str">
        <f t="shared" si="4"/>
        <v>7.20.10</v>
      </c>
      <c r="D53" s="49" t="s">
        <v>994</v>
      </c>
      <c r="E53" s="36" t="s">
        <v>1005</v>
      </c>
      <c r="F53" s="39" t="s">
        <v>1006</v>
      </c>
      <c r="G53" s="5">
        <v>0</v>
      </c>
      <c r="H53" s="5">
        <v>0</v>
      </c>
      <c r="I53" s="42">
        <f t="shared" si="3"/>
        <v>0</v>
      </c>
    </row>
    <row r="54" spans="1:9" s="4" customFormat="1" ht="16.5">
      <c r="A54" s="6" t="str">
        <f t="shared" si="5"/>
        <v>7.2</v>
      </c>
      <c r="B54" s="49" t="s">
        <v>988</v>
      </c>
      <c r="C54" s="49" t="str">
        <f t="shared" si="4"/>
        <v>7.20.10</v>
      </c>
      <c r="D54" s="49" t="s">
        <v>994</v>
      </c>
      <c r="E54" s="36" t="s">
        <v>1007</v>
      </c>
      <c r="F54" s="39" t="s">
        <v>1008</v>
      </c>
      <c r="G54" s="5">
        <v>0</v>
      </c>
      <c r="H54" s="5">
        <v>0</v>
      </c>
      <c r="I54" s="42">
        <f t="shared" si="3"/>
        <v>0</v>
      </c>
    </row>
    <row r="55" spans="1:9" s="4" customFormat="1" ht="16.5">
      <c r="A55" s="6" t="str">
        <f t="shared" si="5"/>
        <v>7.2</v>
      </c>
      <c r="B55" s="49" t="s">
        <v>988</v>
      </c>
      <c r="C55" s="49" t="str">
        <f t="shared" si="4"/>
        <v>7.20.10</v>
      </c>
      <c r="D55" s="49" t="s">
        <v>994</v>
      </c>
      <c r="E55" s="36" t="s">
        <v>1009</v>
      </c>
      <c r="F55" s="39" t="s">
        <v>1010</v>
      </c>
      <c r="G55" s="5">
        <v>0</v>
      </c>
      <c r="H55" s="5">
        <v>0</v>
      </c>
      <c r="I55" s="42">
        <f t="shared" si="3"/>
        <v>0</v>
      </c>
    </row>
    <row r="56" spans="1:9" s="4" customFormat="1" ht="16.5">
      <c r="A56" s="6" t="str">
        <f t="shared" si="5"/>
        <v>7.2</v>
      </c>
      <c r="B56" s="49" t="s">
        <v>988</v>
      </c>
      <c r="C56" s="49" t="str">
        <f t="shared" si="4"/>
        <v>7.20.10</v>
      </c>
      <c r="D56" s="49" t="s">
        <v>994</v>
      </c>
      <c r="E56" s="73" t="s">
        <v>1011</v>
      </c>
      <c r="F56" s="74" t="s">
        <v>1012</v>
      </c>
      <c r="G56" s="64">
        <v>0</v>
      </c>
      <c r="H56" s="64">
        <v>0</v>
      </c>
      <c r="I56" s="65">
        <f t="shared" si="3"/>
        <v>0</v>
      </c>
    </row>
    <row r="57" spans="1:9" s="4" customFormat="1" ht="16.5">
      <c r="A57" s="6" t="str">
        <f t="shared" si="5"/>
        <v>7.2</v>
      </c>
      <c r="B57" s="49" t="s">
        <v>988</v>
      </c>
      <c r="C57" s="49" t="str">
        <f t="shared" si="4"/>
        <v>7.20.10</v>
      </c>
      <c r="D57" s="49" t="s">
        <v>1013</v>
      </c>
      <c r="E57" s="36" t="s">
        <v>1014</v>
      </c>
      <c r="F57" s="39" t="s">
        <v>1015</v>
      </c>
      <c r="G57" s="5">
        <v>0</v>
      </c>
      <c r="H57" s="5">
        <v>0</v>
      </c>
      <c r="I57" s="42">
        <f t="shared" si="3"/>
        <v>0</v>
      </c>
    </row>
    <row r="58" spans="1:9" s="4" customFormat="1" ht="16.5">
      <c r="A58" s="6" t="str">
        <f t="shared" si="5"/>
        <v>7.2</v>
      </c>
      <c r="B58" s="49" t="s">
        <v>988</v>
      </c>
      <c r="C58" s="49" t="str">
        <f t="shared" si="4"/>
        <v>7.20.10</v>
      </c>
      <c r="D58" s="49" t="s">
        <v>1013</v>
      </c>
      <c r="E58" s="36" t="s">
        <v>1016</v>
      </c>
      <c r="F58" s="39" t="s">
        <v>1017</v>
      </c>
      <c r="G58" s="5">
        <v>0</v>
      </c>
      <c r="H58" s="5">
        <v>0</v>
      </c>
      <c r="I58" s="42">
        <f t="shared" si="3"/>
        <v>0</v>
      </c>
    </row>
    <row r="59" spans="1:9" s="4" customFormat="1" ht="16.5">
      <c r="A59" s="6" t="str">
        <f t="shared" si="5"/>
        <v>7.2</v>
      </c>
      <c r="B59" s="49" t="s">
        <v>988</v>
      </c>
      <c r="C59" s="49" t="str">
        <f t="shared" si="4"/>
        <v>7.20.10</v>
      </c>
      <c r="D59" s="49" t="s">
        <v>1013</v>
      </c>
      <c r="E59" s="36" t="s">
        <v>1018</v>
      </c>
      <c r="F59" s="39" t="s">
        <v>1019</v>
      </c>
      <c r="G59" s="5">
        <v>0</v>
      </c>
      <c r="H59" s="5">
        <v>0</v>
      </c>
      <c r="I59" s="42">
        <f t="shared" si="3"/>
        <v>0</v>
      </c>
    </row>
    <row r="60" spans="1:9" s="4" customFormat="1" ht="16.5">
      <c r="A60" s="6" t="str">
        <f t="shared" si="5"/>
        <v>7.2</v>
      </c>
      <c r="B60" s="49" t="s">
        <v>988</v>
      </c>
      <c r="C60" s="49" t="str">
        <f t="shared" si="4"/>
        <v>7.20.10</v>
      </c>
      <c r="D60" s="49" t="s">
        <v>1013</v>
      </c>
      <c r="E60" s="36" t="s">
        <v>1020</v>
      </c>
      <c r="F60" s="39" t="s">
        <v>1021</v>
      </c>
      <c r="G60" s="5">
        <v>0</v>
      </c>
      <c r="H60" s="5">
        <v>0</v>
      </c>
      <c r="I60" s="42">
        <f t="shared" si="3"/>
        <v>0</v>
      </c>
    </row>
    <row r="61" spans="1:9" s="4" customFormat="1" ht="16.5">
      <c r="A61" s="6" t="str">
        <f t="shared" si="5"/>
        <v>7.2</v>
      </c>
      <c r="B61" s="49" t="s">
        <v>988</v>
      </c>
      <c r="C61" s="49" t="str">
        <f t="shared" si="4"/>
        <v>7.20.10</v>
      </c>
      <c r="D61" s="49" t="s">
        <v>1013</v>
      </c>
      <c r="E61" s="36" t="s">
        <v>1022</v>
      </c>
      <c r="F61" s="39" t="s">
        <v>1023</v>
      </c>
      <c r="G61" s="5">
        <v>0</v>
      </c>
      <c r="H61" s="5">
        <v>0</v>
      </c>
      <c r="I61" s="42">
        <f t="shared" si="3"/>
        <v>0</v>
      </c>
    </row>
    <row r="62" spans="1:9" s="4" customFormat="1" ht="16.5">
      <c r="A62" s="6" t="str">
        <f t="shared" si="5"/>
        <v>7.2</v>
      </c>
      <c r="B62" s="49" t="s">
        <v>988</v>
      </c>
      <c r="C62" s="49" t="str">
        <f t="shared" si="4"/>
        <v>7.20.10</v>
      </c>
      <c r="D62" s="49" t="s">
        <v>1013</v>
      </c>
      <c r="E62" s="73" t="s">
        <v>1024</v>
      </c>
      <c r="F62" s="74" t="s">
        <v>1025</v>
      </c>
      <c r="G62" s="64">
        <v>0</v>
      </c>
      <c r="H62" s="64">
        <v>0</v>
      </c>
      <c r="I62" s="65">
        <f t="shared" si="3"/>
        <v>0</v>
      </c>
    </row>
    <row r="63" spans="1:9" s="4" customFormat="1" ht="16.5">
      <c r="A63" s="6" t="str">
        <f t="shared" si="5"/>
        <v>7.2</v>
      </c>
      <c r="B63" s="49" t="s">
        <v>988</v>
      </c>
      <c r="C63" s="49" t="str">
        <f t="shared" si="4"/>
        <v>7.20.10</v>
      </c>
      <c r="D63" s="49" t="s">
        <v>1026</v>
      </c>
      <c r="E63" s="36" t="s">
        <v>1027</v>
      </c>
      <c r="F63" s="39" t="s">
        <v>1028</v>
      </c>
      <c r="G63" s="5">
        <v>0</v>
      </c>
      <c r="H63" s="5">
        <v>0</v>
      </c>
      <c r="I63" s="42">
        <f t="shared" si="3"/>
        <v>0</v>
      </c>
    </row>
    <row r="64" spans="1:9" s="4" customFormat="1" ht="16.5">
      <c r="A64" s="6" t="str">
        <f t="shared" si="5"/>
        <v>7.2</v>
      </c>
      <c r="B64" s="49" t="s">
        <v>988</v>
      </c>
      <c r="C64" s="49" t="str">
        <f t="shared" si="4"/>
        <v>7.20.10</v>
      </c>
      <c r="D64" s="49" t="s">
        <v>1029</v>
      </c>
      <c r="E64" s="75" t="s">
        <v>1030</v>
      </c>
      <c r="F64" s="40" t="s">
        <v>1031</v>
      </c>
      <c r="G64" s="5">
        <v>0</v>
      </c>
      <c r="H64" s="5">
        <v>0</v>
      </c>
      <c r="I64" s="66">
        <f t="shared" si="3"/>
        <v>0</v>
      </c>
    </row>
    <row r="65" spans="1:9" s="4" customFormat="1" ht="16.5">
      <c r="A65" s="6" t="str">
        <f t="shared" si="5"/>
        <v>7.2</v>
      </c>
      <c r="B65" s="49" t="s">
        <v>988</v>
      </c>
      <c r="C65" s="49" t="str">
        <f t="shared" si="4"/>
        <v>7.20.10</v>
      </c>
      <c r="D65" s="49" t="s">
        <v>1029</v>
      </c>
      <c r="E65" s="146" t="s">
        <v>1032</v>
      </c>
      <c r="F65" s="147" t="s">
        <v>1033</v>
      </c>
      <c r="G65" s="29">
        <v>0</v>
      </c>
      <c r="H65" s="29">
        <v>0</v>
      </c>
      <c r="I65" s="148">
        <f t="shared" si="3"/>
        <v>0</v>
      </c>
    </row>
    <row r="66" spans="1:9" s="4" customFormat="1" ht="16.5">
      <c r="A66" s="6" t="str">
        <f t="shared" si="5"/>
        <v>7.2</v>
      </c>
      <c r="B66" s="49" t="s">
        <v>988</v>
      </c>
      <c r="C66" s="49" t="str">
        <f t="shared" si="4"/>
        <v>7.20.10</v>
      </c>
      <c r="D66" s="49" t="s">
        <v>989</v>
      </c>
      <c r="E66" s="73" t="s">
        <v>1034</v>
      </c>
      <c r="F66" s="74" t="s">
        <v>1035</v>
      </c>
      <c r="G66" s="149">
        <v>0</v>
      </c>
      <c r="H66" s="149">
        <v>0</v>
      </c>
      <c r="I66" s="65">
        <f t="shared" si="3"/>
        <v>0</v>
      </c>
    </row>
    <row r="67" spans="1:9" s="4" customFormat="1" ht="16.5">
      <c r="A67" s="6" t="str">
        <f t="shared" si="5"/>
        <v>7.2</v>
      </c>
      <c r="B67" s="49" t="s">
        <v>988</v>
      </c>
      <c r="C67" s="49" t="str">
        <f t="shared" si="4"/>
        <v>7.20.10</v>
      </c>
      <c r="D67" s="49" t="s">
        <v>1036</v>
      </c>
      <c r="E67" s="36" t="s">
        <v>1037</v>
      </c>
      <c r="F67" s="39" t="s">
        <v>1038</v>
      </c>
      <c r="G67" s="5">
        <v>0</v>
      </c>
      <c r="H67" s="5">
        <v>0</v>
      </c>
      <c r="I67" s="42">
        <f t="shared" si="3"/>
        <v>0</v>
      </c>
    </row>
    <row r="68" spans="1:9" s="4" customFormat="1" ht="16.5">
      <c r="A68" s="6" t="str">
        <f t="shared" si="5"/>
        <v>7.2</v>
      </c>
      <c r="B68" s="49" t="s">
        <v>988</v>
      </c>
      <c r="C68" s="49" t="str">
        <f t="shared" si="4"/>
        <v>7.20.10</v>
      </c>
      <c r="D68" s="49" t="s">
        <v>1036</v>
      </c>
      <c r="E68" s="38" t="s">
        <v>1039</v>
      </c>
      <c r="F68" s="56" t="s">
        <v>1040</v>
      </c>
      <c r="G68" s="7">
        <v>0</v>
      </c>
      <c r="H68" s="7">
        <v>0</v>
      </c>
      <c r="I68" s="44">
        <f t="shared" si="3"/>
        <v>0</v>
      </c>
    </row>
    <row r="69" spans="1:9" s="4" customFormat="1" ht="16.5">
      <c r="A69" s="6" t="str">
        <f t="shared" si="5"/>
        <v>7.2</v>
      </c>
      <c r="B69" s="49" t="s">
        <v>988</v>
      </c>
      <c r="C69" s="49" t="str">
        <f t="shared" si="4"/>
        <v>7.20.20</v>
      </c>
      <c r="D69" s="49" t="s">
        <v>1041</v>
      </c>
      <c r="E69" s="17" t="s">
        <v>1042</v>
      </c>
      <c r="F69" s="18" t="s">
        <v>1043</v>
      </c>
      <c r="G69" s="7">
        <v>0</v>
      </c>
      <c r="H69" s="7">
        <v>0</v>
      </c>
      <c r="I69" s="8">
        <f t="shared" si="3"/>
        <v>0</v>
      </c>
    </row>
    <row r="70" spans="1:9" s="4" customFormat="1" ht="16.5">
      <c r="A70" s="6" t="str">
        <f t="shared" si="5"/>
        <v>7.2</v>
      </c>
      <c r="B70" s="49" t="s">
        <v>988</v>
      </c>
      <c r="C70" s="49" t="str">
        <f t="shared" si="4"/>
        <v>7.20.30</v>
      </c>
      <c r="D70" s="49" t="s">
        <v>1044</v>
      </c>
      <c r="E70" s="15" t="s">
        <v>1045</v>
      </c>
      <c r="F70" s="16" t="s">
        <v>1046</v>
      </c>
      <c r="G70" s="5">
        <v>0</v>
      </c>
      <c r="H70" s="5">
        <v>0</v>
      </c>
      <c r="I70" s="6">
        <f t="shared" si="3"/>
        <v>0</v>
      </c>
    </row>
    <row r="71" spans="1:9" s="4" customFormat="1" ht="16.5">
      <c r="A71" s="6" t="str">
        <f t="shared" si="5"/>
        <v>7.2</v>
      </c>
      <c r="B71" s="49" t="s">
        <v>988</v>
      </c>
      <c r="C71" s="49" t="str">
        <f t="shared" si="4"/>
        <v>7.20.30</v>
      </c>
      <c r="D71" s="49" t="s">
        <v>1044</v>
      </c>
      <c r="E71" s="17" t="s">
        <v>1047</v>
      </c>
      <c r="F71" s="18" t="s">
        <v>1048</v>
      </c>
      <c r="G71" s="7">
        <v>0</v>
      </c>
      <c r="H71" s="7">
        <v>0</v>
      </c>
      <c r="I71" s="8">
        <f t="shared" si="3"/>
        <v>0</v>
      </c>
    </row>
    <row r="72" spans="1:9" s="4" customFormat="1" ht="16.5">
      <c r="A72" s="6" t="str">
        <f t="shared" si="5"/>
        <v>7.2</v>
      </c>
      <c r="B72" s="49" t="s">
        <v>988</v>
      </c>
      <c r="C72" s="49" t="str">
        <f t="shared" si="4"/>
        <v>7.20.40</v>
      </c>
      <c r="D72" s="49" t="s">
        <v>1049</v>
      </c>
      <c r="E72" s="15" t="s">
        <v>1050</v>
      </c>
      <c r="F72" s="16" t="s">
        <v>1051</v>
      </c>
      <c r="G72" s="5">
        <v>0</v>
      </c>
      <c r="H72" s="5">
        <v>0</v>
      </c>
      <c r="I72" s="6">
        <f t="shared" si="3"/>
        <v>0</v>
      </c>
    </row>
    <row r="73" spans="1:9" s="4" customFormat="1" ht="16.5">
      <c r="A73" s="6" t="str">
        <f t="shared" si="5"/>
        <v>7.2</v>
      </c>
      <c r="B73" s="49" t="s">
        <v>988</v>
      </c>
      <c r="C73" s="49" t="str">
        <f t="shared" si="4"/>
        <v>7.20.40</v>
      </c>
      <c r="D73" s="49" t="s">
        <v>1049</v>
      </c>
      <c r="E73" s="17" t="s">
        <v>1052</v>
      </c>
      <c r="F73" s="18" t="s">
        <v>1053</v>
      </c>
      <c r="G73" s="7">
        <v>0</v>
      </c>
      <c r="H73" s="7">
        <v>0</v>
      </c>
      <c r="I73" s="8">
        <f t="shared" si="3"/>
        <v>0</v>
      </c>
    </row>
    <row r="74" spans="1:9" s="4" customFormat="1" ht="16.5">
      <c r="A74" s="6" t="str">
        <f t="shared" si="5"/>
        <v>7.2</v>
      </c>
      <c r="B74" s="49" t="s">
        <v>988</v>
      </c>
      <c r="C74" s="49" t="str">
        <f t="shared" si="4"/>
        <v>7.20.50</v>
      </c>
      <c r="D74" s="49" t="s">
        <v>1054</v>
      </c>
      <c r="E74" s="36" t="s">
        <v>1055</v>
      </c>
      <c r="F74" s="39" t="s">
        <v>1056</v>
      </c>
      <c r="G74" s="5">
        <v>0</v>
      </c>
      <c r="H74" s="5">
        <v>0</v>
      </c>
      <c r="I74" s="42">
        <f t="shared" si="3"/>
        <v>0</v>
      </c>
    </row>
    <row r="75" spans="1:9" s="4" customFormat="1" ht="16.5">
      <c r="A75" s="6" t="str">
        <f t="shared" si="5"/>
        <v>7.2</v>
      </c>
      <c r="B75" s="49" t="s">
        <v>988</v>
      </c>
      <c r="C75" s="49" t="str">
        <f t="shared" si="4"/>
        <v>7.20.50</v>
      </c>
      <c r="D75" s="49" t="s">
        <v>1054</v>
      </c>
      <c r="E75" s="36" t="s">
        <v>1057</v>
      </c>
      <c r="F75" s="39" t="s">
        <v>1058</v>
      </c>
      <c r="G75" s="5">
        <v>0</v>
      </c>
      <c r="H75" s="5">
        <v>0</v>
      </c>
      <c r="I75" s="42">
        <f t="shared" si="3"/>
        <v>0</v>
      </c>
    </row>
    <row r="76" spans="1:9" s="4" customFormat="1" ht="16.5">
      <c r="A76" s="6" t="str">
        <f t="shared" si="5"/>
        <v>7.2</v>
      </c>
      <c r="B76" s="49" t="s">
        <v>988</v>
      </c>
      <c r="C76" s="49" t="str">
        <f t="shared" si="4"/>
        <v>7.20.50</v>
      </c>
      <c r="D76" s="49" t="s">
        <v>1054</v>
      </c>
      <c r="E76" s="73" t="s">
        <v>1059</v>
      </c>
      <c r="F76" s="74" t="s">
        <v>1060</v>
      </c>
      <c r="G76" s="64">
        <v>0</v>
      </c>
      <c r="H76" s="64">
        <v>0</v>
      </c>
      <c r="I76" s="65">
        <f t="shared" si="3"/>
        <v>0</v>
      </c>
    </row>
    <row r="77" spans="1:9" s="4" customFormat="1" ht="16.5">
      <c r="A77" s="6" t="str">
        <f t="shared" si="5"/>
        <v>7.2</v>
      </c>
      <c r="B77" s="49" t="s">
        <v>988</v>
      </c>
      <c r="C77" s="49" t="str">
        <f t="shared" si="4"/>
        <v>7.20.50</v>
      </c>
      <c r="D77" s="49" t="s">
        <v>1061</v>
      </c>
      <c r="E77" s="36" t="s">
        <v>1062</v>
      </c>
      <c r="F77" s="39" t="s">
        <v>1063</v>
      </c>
      <c r="G77" s="5">
        <v>0</v>
      </c>
      <c r="H77" s="5">
        <v>0</v>
      </c>
      <c r="I77" s="42">
        <f t="shared" si="3"/>
        <v>0</v>
      </c>
    </row>
    <row r="78" spans="1:9" s="4" customFormat="1" ht="16.5">
      <c r="A78" s="6" t="str">
        <f t="shared" si="5"/>
        <v>7.2</v>
      </c>
      <c r="B78" s="49" t="s">
        <v>988</v>
      </c>
      <c r="C78" s="49" t="str">
        <f t="shared" si="4"/>
        <v>7.20.50</v>
      </c>
      <c r="D78" s="49" t="s">
        <v>1061</v>
      </c>
      <c r="E78" s="36" t="s">
        <v>1064</v>
      </c>
      <c r="F78" s="39" t="s">
        <v>1058</v>
      </c>
      <c r="G78" s="5">
        <v>0</v>
      </c>
      <c r="H78" s="5">
        <v>0</v>
      </c>
      <c r="I78" s="42">
        <f t="shared" si="3"/>
        <v>0</v>
      </c>
    </row>
    <row r="79" spans="1:9" s="4" customFormat="1" ht="16.5">
      <c r="A79" s="6" t="str">
        <f t="shared" si="5"/>
        <v>7.2</v>
      </c>
      <c r="B79" s="49" t="s">
        <v>988</v>
      </c>
      <c r="C79" s="49" t="str">
        <f t="shared" si="4"/>
        <v>7.20.50</v>
      </c>
      <c r="D79" s="49" t="s">
        <v>1061</v>
      </c>
      <c r="E79" s="38" t="s">
        <v>1065</v>
      </c>
      <c r="F79" s="56" t="s">
        <v>1060</v>
      </c>
      <c r="G79" s="7">
        <v>0</v>
      </c>
      <c r="H79" s="7">
        <v>0</v>
      </c>
      <c r="I79" s="44">
        <f t="shared" si="3"/>
        <v>0</v>
      </c>
    </row>
    <row r="80" spans="1:9" s="4" customFormat="1" ht="16.5">
      <c r="A80" s="6" t="str">
        <f t="shared" si="5"/>
        <v>7.2</v>
      </c>
      <c r="B80" s="49" t="s">
        <v>988</v>
      </c>
      <c r="C80" s="49" t="str">
        <f t="shared" si="4"/>
        <v>7.20.60</v>
      </c>
      <c r="D80" s="49" t="s">
        <v>1066</v>
      </c>
      <c r="E80" s="15" t="s">
        <v>1067</v>
      </c>
      <c r="F80" s="16" t="s">
        <v>1068</v>
      </c>
      <c r="G80" s="5">
        <v>0</v>
      </c>
      <c r="H80" s="5">
        <v>0</v>
      </c>
      <c r="I80" s="6">
        <f t="shared" si="3"/>
        <v>0</v>
      </c>
    </row>
    <row r="81" spans="1:9" s="4" customFormat="1" ht="16.5">
      <c r="A81" s="6" t="str">
        <f t="shared" si="5"/>
        <v>7.2</v>
      </c>
      <c r="B81" s="49" t="s">
        <v>988</v>
      </c>
      <c r="C81" s="49" t="str">
        <f t="shared" si="4"/>
        <v>7.20.60</v>
      </c>
      <c r="D81" s="49" t="s">
        <v>1066</v>
      </c>
      <c r="E81" s="15" t="s">
        <v>1069</v>
      </c>
      <c r="F81" s="16" t="s">
        <v>1070</v>
      </c>
      <c r="G81" s="5">
        <v>0</v>
      </c>
      <c r="H81" s="5">
        <v>0</v>
      </c>
      <c r="I81" s="6">
        <f t="shared" si="3"/>
        <v>0</v>
      </c>
    </row>
    <row r="82" spans="1:9" s="4" customFormat="1" ht="16.5">
      <c r="A82" s="6" t="str">
        <f t="shared" si="5"/>
        <v>7.2</v>
      </c>
      <c r="B82" s="49" t="s">
        <v>988</v>
      </c>
      <c r="C82" s="49" t="str">
        <f t="shared" si="4"/>
        <v>7.20.60</v>
      </c>
      <c r="D82" s="49" t="s">
        <v>1066</v>
      </c>
      <c r="E82" s="15" t="s">
        <v>1071</v>
      </c>
      <c r="F82" s="16" t="s">
        <v>1072</v>
      </c>
      <c r="G82" s="5">
        <v>0</v>
      </c>
      <c r="H82" s="5">
        <v>0</v>
      </c>
      <c r="I82" s="6">
        <f t="shared" si="3"/>
        <v>0</v>
      </c>
    </row>
    <row r="83" spans="1:9" s="4" customFormat="1" ht="16.5">
      <c r="A83" s="6" t="str">
        <f t="shared" si="5"/>
        <v>7.2</v>
      </c>
      <c r="B83" s="49" t="s">
        <v>988</v>
      </c>
      <c r="C83" s="49" t="str">
        <f t="shared" si="4"/>
        <v>7.20.60</v>
      </c>
      <c r="D83" s="49" t="s">
        <v>1066</v>
      </c>
      <c r="E83" s="15" t="s">
        <v>1073</v>
      </c>
      <c r="F83" s="16" t="s">
        <v>1074</v>
      </c>
      <c r="G83" s="5">
        <v>0</v>
      </c>
      <c r="H83" s="5">
        <v>0</v>
      </c>
      <c r="I83" s="6">
        <f t="shared" si="3"/>
        <v>0</v>
      </c>
    </row>
    <row r="84" spans="1:9" s="4" customFormat="1" ht="16.5">
      <c r="A84" s="6" t="str">
        <f t="shared" si="5"/>
        <v>7.2</v>
      </c>
      <c r="B84" s="49" t="s">
        <v>988</v>
      </c>
      <c r="C84" s="49" t="str">
        <f t="shared" si="4"/>
        <v>7.20.60</v>
      </c>
      <c r="D84" s="49" t="s">
        <v>1066</v>
      </c>
      <c r="E84" s="17" t="s">
        <v>1075</v>
      </c>
      <c r="F84" s="18" t="s">
        <v>1076</v>
      </c>
      <c r="G84" s="7">
        <v>0</v>
      </c>
      <c r="H84" s="7">
        <v>0</v>
      </c>
      <c r="I84" s="8">
        <f t="shared" si="3"/>
        <v>0</v>
      </c>
    </row>
    <row r="85" spans="1:9" s="4" customFormat="1" ht="16.5">
      <c r="A85" s="6" t="str">
        <f t="shared" si="5"/>
        <v>7.2</v>
      </c>
      <c r="B85" s="49" t="s">
        <v>988</v>
      </c>
      <c r="C85" s="49" t="str">
        <f t="shared" si="4"/>
        <v>7.20.70</v>
      </c>
      <c r="D85" s="49" t="s">
        <v>1077</v>
      </c>
      <c r="E85" s="17" t="s">
        <v>1078</v>
      </c>
      <c r="F85" s="18" t="s">
        <v>1079</v>
      </c>
      <c r="G85" s="7">
        <v>0</v>
      </c>
      <c r="H85" s="7">
        <v>0</v>
      </c>
      <c r="I85" s="8">
        <f t="shared" si="3"/>
        <v>0</v>
      </c>
    </row>
    <row r="86" spans="1:9" s="4" customFormat="1" ht="16.5">
      <c r="A86" s="6" t="str">
        <f t="shared" si="5"/>
        <v>7.2</v>
      </c>
      <c r="B86" s="49" t="s">
        <v>988</v>
      </c>
      <c r="C86" s="49" t="str">
        <f t="shared" si="4"/>
        <v>7.20.80</v>
      </c>
      <c r="D86" s="49" t="s">
        <v>1080</v>
      </c>
      <c r="E86" s="36" t="s">
        <v>1081</v>
      </c>
      <c r="F86" s="39" t="s">
        <v>1082</v>
      </c>
      <c r="G86" s="5">
        <v>0</v>
      </c>
      <c r="H86" s="5">
        <v>0</v>
      </c>
      <c r="I86" s="42">
        <f t="shared" si="3"/>
        <v>0</v>
      </c>
    </row>
    <row r="87" spans="1:9" s="4" customFormat="1" ht="16.5">
      <c r="A87" s="6" t="str">
        <f t="shared" si="5"/>
        <v>7.2</v>
      </c>
      <c r="B87" s="49" t="s">
        <v>988</v>
      </c>
      <c r="C87" s="49" t="str">
        <f t="shared" si="4"/>
        <v>7.20.80</v>
      </c>
      <c r="D87" s="49" t="s">
        <v>1080</v>
      </c>
      <c r="E87" s="36" t="s">
        <v>1083</v>
      </c>
      <c r="F87" s="39" t="s">
        <v>1084</v>
      </c>
      <c r="G87" s="5">
        <v>0</v>
      </c>
      <c r="H87" s="5">
        <v>0</v>
      </c>
      <c r="I87" s="42">
        <f t="shared" si="3"/>
        <v>0</v>
      </c>
    </row>
    <row r="88" spans="1:9" s="4" customFormat="1" ht="16.5">
      <c r="A88" s="6" t="str">
        <f t="shared" si="5"/>
        <v>7.2</v>
      </c>
      <c r="B88" s="49" t="s">
        <v>988</v>
      </c>
      <c r="C88" s="49" t="str">
        <f t="shared" si="4"/>
        <v>7.20.80</v>
      </c>
      <c r="D88" s="49" t="s">
        <v>1080</v>
      </c>
      <c r="E88" s="36" t="s">
        <v>1085</v>
      </c>
      <c r="F88" s="39" t="s">
        <v>1086</v>
      </c>
      <c r="G88" s="5">
        <v>0</v>
      </c>
      <c r="H88" s="5">
        <v>0</v>
      </c>
      <c r="I88" s="42">
        <f t="shared" si="3"/>
        <v>0</v>
      </c>
    </row>
    <row r="89" spans="1:9" s="4" customFormat="1" ht="16.5">
      <c r="A89" s="6" t="str">
        <f t="shared" si="5"/>
        <v>7.2</v>
      </c>
      <c r="B89" s="49" t="s">
        <v>988</v>
      </c>
      <c r="C89" s="49" t="str">
        <f t="shared" si="4"/>
        <v>7.20.80</v>
      </c>
      <c r="D89" s="49" t="s">
        <v>1080</v>
      </c>
      <c r="E89" s="36" t="s">
        <v>1087</v>
      </c>
      <c r="F89" s="39" t="s">
        <v>1088</v>
      </c>
      <c r="G89" s="5">
        <v>0</v>
      </c>
      <c r="H89" s="5">
        <v>0</v>
      </c>
      <c r="I89" s="42">
        <f t="shared" si="3"/>
        <v>0</v>
      </c>
    </row>
    <row r="90" spans="1:9" s="4" customFormat="1" ht="16.5">
      <c r="A90" s="6" t="str">
        <f t="shared" si="5"/>
        <v>7.2</v>
      </c>
      <c r="B90" s="49" t="s">
        <v>988</v>
      </c>
      <c r="C90" s="49" t="str">
        <f t="shared" si="4"/>
        <v>7.20.80</v>
      </c>
      <c r="D90" s="49" t="s">
        <v>1080</v>
      </c>
      <c r="E90" s="36" t="s">
        <v>1089</v>
      </c>
      <c r="F90" s="39" t="s">
        <v>1090</v>
      </c>
      <c r="G90" s="5">
        <v>0</v>
      </c>
      <c r="H90" s="5">
        <v>0</v>
      </c>
      <c r="I90" s="42">
        <f t="shared" si="3"/>
        <v>0</v>
      </c>
    </row>
    <row r="91" spans="1:9" s="4" customFormat="1" ht="16.5">
      <c r="A91" s="6" t="str">
        <f t="shared" si="5"/>
        <v>7.2</v>
      </c>
      <c r="B91" s="49" t="s">
        <v>988</v>
      </c>
      <c r="C91" s="49" t="str">
        <f t="shared" si="4"/>
        <v>7.20.80</v>
      </c>
      <c r="D91" s="49" t="s">
        <v>1080</v>
      </c>
      <c r="E91" s="73" t="s">
        <v>1091</v>
      </c>
      <c r="F91" s="74" t="s">
        <v>1092</v>
      </c>
      <c r="G91" s="64">
        <v>0</v>
      </c>
      <c r="H91" s="64">
        <v>0</v>
      </c>
      <c r="I91" s="65">
        <f t="shared" si="3"/>
        <v>0</v>
      </c>
    </row>
    <row r="92" spans="1:9" s="4" customFormat="1" ht="16.5">
      <c r="A92" s="6" t="str">
        <f t="shared" si="5"/>
        <v>7.2</v>
      </c>
      <c r="B92" s="49" t="s">
        <v>988</v>
      </c>
      <c r="C92" s="49" t="str">
        <f t="shared" si="4"/>
        <v>7.20.80</v>
      </c>
      <c r="D92" s="49" t="s">
        <v>1093</v>
      </c>
      <c r="E92" s="73" t="s">
        <v>1094</v>
      </c>
      <c r="F92" s="74" t="s">
        <v>1095</v>
      </c>
      <c r="G92" s="64">
        <v>0</v>
      </c>
      <c r="H92" s="64">
        <v>0</v>
      </c>
      <c r="I92" s="65">
        <f t="shared" si="3"/>
        <v>0</v>
      </c>
    </row>
    <row r="93" spans="1:9" s="4" customFormat="1" ht="16.5">
      <c r="A93" s="6" t="str">
        <f t="shared" si="5"/>
        <v>7.2</v>
      </c>
      <c r="B93" s="49" t="s">
        <v>988</v>
      </c>
      <c r="C93" s="49" t="str">
        <f t="shared" si="4"/>
        <v>7.20.80</v>
      </c>
      <c r="D93" s="49" t="s">
        <v>1093</v>
      </c>
      <c r="E93" s="73" t="s">
        <v>1096</v>
      </c>
      <c r="F93" s="74" t="s">
        <v>1097</v>
      </c>
      <c r="G93" s="64">
        <v>0</v>
      </c>
      <c r="H93" s="64">
        <v>0</v>
      </c>
      <c r="I93" s="65">
        <f t="shared" ref="I93:I98" si="6">G93-H93</f>
        <v>0</v>
      </c>
    </row>
    <row r="94" spans="1:9" s="4" customFormat="1" ht="16.5">
      <c r="A94" s="6" t="str">
        <f t="shared" si="5"/>
        <v>7.2</v>
      </c>
      <c r="B94" s="49" t="s">
        <v>988</v>
      </c>
      <c r="C94" s="49" t="str">
        <f t="shared" ref="C94:C98" si="7">+LEFT(E94,7)</f>
        <v>7.20.80</v>
      </c>
      <c r="D94" s="49" t="s">
        <v>1093</v>
      </c>
      <c r="E94" s="73" t="s">
        <v>1098</v>
      </c>
      <c r="F94" s="74" t="s">
        <v>1099</v>
      </c>
      <c r="G94" s="64">
        <v>0</v>
      </c>
      <c r="H94" s="64">
        <v>0</v>
      </c>
      <c r="I94" s="65">
        <f t="shared" si="6"/>
        <v>0</v>
      </c>
    </row>
    <row r="95" spans="1:9" s="4" customFormat="1" ht="16.5">
      <c r="A95" s="6" t="str">
        <f t="shared" ref="A95:A98" si="8">+LEFT(E95,3)</f>
        <v>7.2</v>
      </c>
      <c r="B95" s="49" t="s">
        <v>988</v>
      </c>
      <c r="C95" s="49" t="str">
        <f t="shared" si="7"/>
        <v>7.20.80</v>
      </c>
      <c r="D95" s="49" t="s">
        <v>1093</v>
      </c>
      <c r="E95" s="36" t="s">
        <v>1100</v>
      </c>
      <c r="F95" s="39" t="s">
        <v>1101</v>
      </c>
      <c r="G95" s="5">
        <v>0</v>
      </c>
      <c r="H95" s="5">
        <v>0</v>
      </c>
      <c r="I95" s="42">
        <f t="shared" si="6"/>
        <v>0</v>
      </c>
    </row>
    <row r="96" spans="1:9" s="4" customFormat="1" ht="16.5">
      <c r="A96" s="6" t="str">
        <f t="shared" si="8"/>
        <v>7.2</v>
      </c>
      <c r="B96" s="49" t="s">
        <v>988</v>
      </c>
      <c r="C96" s="49" t="str">
        <f t="shared" si="7"/>
        <v>7.20.80</v>
      </c>
      <c r="D96" s="49" t="s">
        <v>1093</v>
      </c>
      <c r="E96" s="38" t="s">
        <v>1102</v>
      </c>
      <c r="F96" s="56" t="s">
        <v>1103</v>
      </c>
      <c r="G96" s="7">
        <v>0</v>
      </c>
      <c r="H96" s="7">
        <v>0</v>
      </c>
      <c r="I96" s="44">
        <f t="shared" si="6"/>
        <v>0</v>
      </c>
    </row>
    <row r="97" spans="1:10" s="4" customFormat="1" ht="17.25" thickBot="1">
      <c r="A97" s="6" t="str">
        <f t="shared" si="8"/>
        <v>7.2</v>
      </c>
      <c r="B97" s="49" t="s">
        <v>988</v>
      </c>
      <c r="C97" s="49" t="str">
        <f t="shared" si="7"/>
        <v>7.20.90</v>
      </c>
      <c r="D97" s="49" t="s">
        <v>1104</v>
      </c>
      <c r="E97" s="19" t="s">
        <v>1105</v>
      </c>
      <c r="F97" s="20" t="s">
        <v>1106</v>
      </c>
      <c r="G97" s="9">
        <v>0</v>
      </c>
      <c r="H97" s="9">
        <v>0</v>
      </c>
      <c r="I97" s="10">
        <f t="shared" si="6"/>
        <v>0</v>
      </c>
    </row>
    <row r="98" spans="1:10" s="61" customFormat="1" ht="17.25" thickBot="1">
      <c r="A98" s="6" t="str">
        <f t="shared" si="8"/>
        <v>7.9</v>
      </c>
      <c r="B98" s="57" t="s">
        <v>1107</v>
      </c>
      <c r="C98" s="49" t="str">
        <f t="shared" si="7"/>
        <v>7.90.10</v>
      </c>
      <c r="D98" s="57" t="s">
        <v>1108</v>
      </c>
      <c r="E98" s="23" t="s">
        <v>1109</v>
      </c>
      <c r="F98" s="24" t="s">
        <v>1110</v>
      </c>
      <c r="G98" s="9">
        <v>0</v>
      </c>
      <c r="H98" s="9">
        <v>0</v>
      </c>
      <c r="I98" s="14">
        <f t="shared" si="6"/>
        <v>0</v>
      </c>
      <c r="J98" s="4"/>
    </row>
  </sheetData>
  <sheetProtection selectLockedCells="1"/>
  <dataValidations count="2">
    <dataValidation type="custom" showInputMessage="1" showErrorMessage="1" errorTitle="ERRO!" error="Valor tem de ser um número maior ou igual a zero. " promptTitle="Valor em kwanzas" prompt="Insira um valor em kwanzas maior ou igual a zero!" sqref="G2:H98" xr:uid="{22110071-2B2D-4E62-947D-3A7F35373044}">
      <formula1>AND(ISNUMBER(G2)=TRUE,G2&gt;=0)</formula1>
    </dataValidation>
    <dataValidation type="custom" showInputMessage="1" showErrorMessage="1" sqref="G1:H1" xr:uid="{63535EF6-D4AB-4BAA-BA10-503828386134}">
      <formula1>G:H&gt;0</formula1>
    </dataValidation>
  </dataValidations>
  <pageMargins left="0.25" right="0.25" top="0.75" bottom="0.75" header="0.3" footer="0.3"/>
  <pageSetup paperSize="9" scale="86" fitToHeight="0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44B4FE1291A794EB95C4FBF0645636B" ma:contentTypeVersion="3" ma:contentTypeDescription="Criar um novo documento." ma:contentTypeScope="" ma:versionID="8f17528868a2bd8535dbde2332dd00a6">
  <xsd:schema xmlns:xsd="http://www.w3.org/2001/XMLSchema" xmlns:xs="http://www.w3.org/2001/XMLSchema" xmlns:p="http://schemas.microsoft.com/office/2006/metadata/properties" xmlns:ns2="96efd2e2-f72a-43b6-a0a4-594917c845a5" targetNamespace="http://schemas.microsoft.com/office/2006/metadata/properties" ma:root="true" ma:fieldsID="f0dc20f9b11d651f3097373d77306b69" ns2:_="">
    <xsd:import namespace="96efd2e2-f72a-43b6-a0a4-594917c845a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efd2e2-f72a-43b6-a0a4-594917c845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11051F4-5805-4AB4-A343-2E40976B1144}"/>
</file>

<file path=customXml/itemProps2.xml><?xml version="1.0" encoding="utf-8"?>
<ds:datastoreItem xmlns:ds="http://schemas.openxmlformats.org/officeDocument/2006/customXml" ds:itemID="{1D6ECDB5-5F64-4601-B312-74421BBF2FDB}"/>
</file>

<file path=customXml/itemProps3.xml><?xml version="1.0" encoding="utf-8"?>
<ds:datastoreItem xmlns:ds="http://schemas.openxmlformats.org/officeDocument/2006/customXml" ds:itemID="{B01446FC-F546-4002-8DC6-2F6CFA6FDAB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Bento</dc:creator>
  <cp:keywords/>
  <dc:description/>
  <cp:lastModifiedBy/>
  <cp:revision/>
  <dcterms:created xsi:type="dcterms:W3CDTF">2025-05-22T18:09:32Z</dcterms:created>
  <dcterms:modified xsi:type="dcterms:W3CDTF">2025-11-05T20:02:08Z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0x010100A44B4FE1291A794EB95C4FBF0645636B</vt:lpwstr>
  </property>
</Properties>
</file>